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itam\OneDrive\Desktop\excel_project\"/>
    </mc:Choice>
  </mc:AlternateContent>
  <xr:revisionPtr revIDLastSave="0" documentId="13_ncr:1_{77703791-A008-4141-87DC-2A4B03EC9B59}" xr6:coauthVersionLast="47" xr6:coauthVersionMax="47" xr10:uidLastSave="{00000000-0000-0000-0000-000000000000}"/>
  <bookViews>
    <workbookView xWindow="-108" yWindow="-108" windowWidth="23256" windowHeight="12456" activeTab="1" xr2:uid="{5850296E-6B38-49A2-818A-FFBA2FF7598B}"/>
  </bookViews>
  <sheets>
    <sheet name="Pivot Report" sheetId="1" r:id="rId1"/>
    <sheet name="Dashboard" sheetId="2" r:id="rId2"/>
    <sheet name="Avg. Wait Time Daily Trend" sheetId="4" r:id="rId3"/>
    <sheet name="Daily Em. Room No. Of Patient" sheetId="3" r:id="rId4"/>
    <sheet name="Satisfaction Score Daily trend" sheetId="5" r:id="rId5"/>
  </sheets>
  <definedNames>
    <definedName name="Slicer_Date__Month">#N/A</definedName>
    <definedName name="Slicer_Date__Year">#N/A</definedName>
  </definedNames>
  <calcPr calcId="191029"/>
  <pivotCaches>
    <pivotCache cacheId="801" r:id="rId6"/>
    <pivotCache cacheId="804" r:id="rId7"/>
    <pivotCache cacheId="807" r:id="rId8"/>
    <pivotCache cacheId="810" r:id="rId9"/>
    <pivotCache cacheId="813" r:id="rId10"/>
    <pivotCache cacheId="816" r:id="rId11"/>
    <pivotCache cacheId="819" r:id="rId12"/>
    <pivotCache cacheId="822" r:id="rId13"/>
    <pivotCache cacheId="825" r:id="rId14"/>
    <pivotCache cacheId="828" r:id="rId15"/>
    <pivotCache cacheId="831" r:id="rId16"/>
    <pivotCache cacheId="834" r:id="rId17"/>
  </pivotCaches>
  <extLst>
    <ext xmlns:x14="http://schemas.microsoft.com/office/spreadsheetml/2009/9/main" uri="{876F7934-8845-4945-9796-88D515C7AA90}">
      <x14:pivotCaches>
        <pivotCache cacheId="42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01b2449-673c-4e80-91c2-b937dc464556" name="Hospital Emergency Room Data" connection="Query - Hospital Emergency Room Data"/>
          <x15:modelTable id="Calendar_Table_361421b0-5713-4a86-9d6d-4b75cc16d27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C48" i="1"/>
  <c r="C49" i="1"/>
  <c r="A48" i="1"/>
  <c r="B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1BB50C-D716-4088-ADBB-FD74D984485B}" name="Query - Calendar_Table" description="Connection to the 'Calendar_Table' query in the workbook." type="100" refreshedVersion="8" minRefreshableVersion="5">
    <extLst>
      <ext xmlns:x15="http://schemas.microsoft.com/office/spreadsheetml/2010/11/main" uri="{DE250136-89BD-433C-8126-D09CA5730AF9}">
        <x15:connection id="f912c24f-23ac-4e72-8351-79ca2ec94545"/>
      </ext>
    </extLst>
  </connection>
  <connection id="2" xr16:uid="{F4786377-C498-4019-B2BF-E7D69EE080F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9f63338-43b9-4b6a-86fd-02411813f002"/>
      </ext>
    </extLst>
  </connection>
  <connection id="3" xr16:uid="{2CEA6963-078F-451F-B829-152A5FCB2DF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<sst xmlns="http://schemas.openxmlformats.org/spreadsheetml/2006/main" count="153" uniqueCount="74">
  <si>
    <t>Distinct Count of Patient Id</t>
  </si>
  <si>
    <t>Average of Patient Waittime</t>
  </si>
  <si>
    <t>Average of Patient Satisfaction Score</t>
  </si>
  <si>
    <t>Row Labels</t>
  </si>
  <si>
    <t>Grand Total</t>
  </si>
  <si>
    <t>Daily trends of no of patient</t>
  </si>
  <si>
    <t>Avg. wait time</t>
  </si>
  <si>
    <t>Daily Em. Room No. Of Patient'!A1</t>
  </si>
  <si>
    <t>Satisfaction Score Daily trend</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</si>
  <si>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</si>
  <si>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</si>
  <si>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</si>
  <si>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</si>
  <si>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</si>
  <si>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</si>
  <si>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</si>
  <si>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</si>
  <si>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</si>
  <si>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</si>
  <si>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</si>
  <si>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</si>
  <si>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</si>
  <si>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</si>
  <si>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</si>
  <si>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</si>
  <si>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age group wise analysis</t>
  </si>
  <si>
    <t>Delay</t>
  </si>
  <si>
    <t>Ontime</t>
  </si>
  <si>
    <t>Count of Patient attend Status</t>
  </si>
  <si>
    <t>attends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</si>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</sst>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u/>
      <sz val="11"/>
      <color theme="10"/>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9" fontId="2" fillId="0" borderId="0" applyFont="0" applyFill="0" applyBorder="0" applyAlignment="0" applyProtection="0"/>
  </cellStyleXfs>
  <cellXfs count="17">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2" borderId="0" xfId="1" quotePrefix="1" applyFill="1"/>
    <xf numFmtId="1" fontId="0" fillId="0" borderId="0" xfId="0" applyNumberFormat="1"/>
    <xf numFmtId="10" fontId="0" fillId="0" borderId="0" xfId="0" applyNumberFormat="1"/>
    <xf numFmtId="0" fontId="0" fillId="0" borderId="0" xfId="0" applyNumberFormat="1"/>
    <xf numFmtId="0" fontId="0" fillId="4" borderId="0" xfId="0" applyFill="1"/>
    <xf numFmtId="0" fontId="3" fillId="4" borderId="0" xfId="0" applyFont="1" applyFill="1" applyAlignment="1">
      <alignment horizontal="center" vertical="center"/>
    </xf>
    <xf numFmtId="9" fontId="3" fillId="4" borderId="0" xfId="2" applyFont="1" applyFill="1" applyAlignment="1">
      <alignment horizontal="center" vertical="center"/>
    </xf>
    <xf numFmtId="0" fontId="3" fillId="4" borderId="0" xfId="0" applyFont="1" applyFill="1"/>
    <xf numFmtId="0" fontId="4" fillId="5" borderId="0" xfId="0" applyFont="1" applyFill="1" applyAlignment="1">
      <alignment horizontal="center" vertical="center"/>
    </xf>
    <xf numFmtId="0" fontId="3" fillId="5" borderId="0" xfId="0" applyFont="1" applyFill="1"/>
    <xf numFmtId="0" fontId="0" fillId="5" borderId="0" xfId="0" applyFill="1"/>
  </cellXfs>
  <cellStyles count="3">
    <cellStyle name="Hyperlink" xfId="1" builtinId="8"/>
    <cellStyle name="Normal" xfId="0" builtinId="0"/>
    <cellStyle name="Percent" xfId="2" builtinId="5"/>
  </cellStyles>
  <dxfs count="190">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10"/>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1B6735E-C545-4545-8953-0C8B2E5EC0B4}">
      <tableStyleElement type="wholeTable" dxfId="189"/>
      <tableStyleElement type="headerRow" dxfId="18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56FC9B-0544-41AE-B640-FA4282DDD5C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ACBF50-FBFD-4B84-A745-8DF038FB7C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08B98688-A7F6-434C-8911-49FC1292E87D}" type="CELLRANGE">
                  <a:rPr lang="en-US" sz="1000"/>
                  <a:pPr>
                    <a:defRPr sz="10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1.3763247193236098E-2"/>
          <c:y val="1.9083641708421282E-2"/>
          <c:w val="0.73880623784846355"/>
          <c:h val="0.9621621782667894"/>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235</c:v>
                </c:pt>
                <c:pt idx="1">
                  <c:v>250</c:v>
                </c:pt>
              </c:numCache>
            </c:numRef>
          </c:val>
          <c:extLst>
            <c:ext xmlns:c16="http://schemas.microsoft.com/office/drawing/2014/chart" uri="{C3380CC4-5D6E-409C-BE32-E72D297353CC}">
              <c16:uniqueId val="{00000003-2595-4D61-8FAF-48DC9F665B15}"/>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0.4845360824742268</c:v>
                </c:pt>
                <c:pt idx="1">
                  <c:v>0.51546391752577314</c:v>
                </c:pt>
              </c:numCache>
            </c:numRef>
          </c:val>
          <c:extLst>
            <c:ext xmlns:c16="http://schemas.microsoft.com/office/drawing/2014/chart" uri="{C3380CC4-5D6E-409C-BE32-E72D297353CC}">
              <c16:uniqueId val="{00000004-2595-4D61-8FAF-48DC9F665B15}"/>
            </c:ext>
          </c:extLst>
        </c:ser>
        <c:dLbls>
          <c:showLegendKey val="0"/>
          <c:showVal val="0"/>
          <c:showCatName val="0"/>
          <c:showSerName val="0"/>
          <c:showPercent val="0"/>
          <c:showBubbleSize val="0"/>
        </c:dLbls>
        <c:gapWidth val="106"/>
        <c:axId val="1030955439"/>
        <c:axId val="1030940079"/>
      </c:barChart>
      <c:catAx>
        <c:axId val="1030955439"/>
        <c:scaling>
          <c:orientation val="minMax"/>
        </c:scaling>
        <c:delete val="1"/>
        <c:axPos val="l"/>
        <c:numFmt formatCode="General" sourceLinked="1"/>
        <c:majorTickMark val="none"/>
        <c:minorTickMark val="none"/>
        <c:tickLblPos val="nextTo"/>
        <c:crossAx val="1030940079"/>
        <c:crosses val="autoZero"/>
        <c:auto val="1"/>
        <c:lblAlgn val="ctr"/>
        <c:lblOffset val="100"/>
        <c:noMultiLvlLbl val="0"/>
      </c:catAx>
      <c:valAx>
        <c:axId val="1030940079"/>
        <c:scaling>
          <c:orientation val="minMax"/>
        </c:scaling>
        <c:delete val="1"/>
        <c:axPos val="b"/>
        <c:numFmt formatCode="0" sourceLinked="1"/>
        <c:majorTickMark val="none"/>
        <c:minorTickMark val="none"/>
        <c:tickLblPos val="nextTo"/>
        <c:crossAx val="103095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Report!PivotTable2</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 Report'!$G$5</c:f>
              <c:strCache>
                <c:ptCount val="1"/>
                <c:pt idx="0">
                  <c:v>Total</c:v>
                </c:pt>
              </c:strCache>
            </c:strRef>
          </c:tx>
          <c:spPr>
            <a:solidFill>
              <a:schemeClr val="accent1"/>
            </a:solidFill>
            <a:ln w="25400">
              <a:noFill/>
            </a:ln>
            <a:effectLst/>
          </c:spPr>
          <c:cat>
            <c:strRef>
              <c:f>'Pivot Report'!$F$6:$F$36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Report'!$G$6:$G$36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2-E171-4BFE-B2E0-BBB6B848ED47}"/>
            </c:ext>
          </c:extLst>
        </c:ser>
        <c:dLbls>
          <c:showLegendKey val="0"/>
          <c:showVal val="0"/>
          <c:showCatName val="0"/>
          <c:showSerName val="0"/>
          <c:showPercent val="0"/>
          <c:showBubbleSize val="0"/>
        </c:dLbls>
        <c:axId val="29118896"/>
        <c:axId val="29120336"/>
      </c:areaChart>
      <c:catAx>
        <c:axId val="29118896"/>
        <c:scaling>
          <c:orientation val="minMax"/>
        </c:scaling>
        <c:delete val="1"/>
        <c:axPos val="b"/>
        <c:numFmt formatCode="General" sourceLinked="1"/>
        <c:majorTickMark val="out"/>
        <c:minorTickMark val="none"/>
        <c:tickLblPos val="nextTo"/>
        <c:crossAx val="29120336"/>
        <c:crosses val="autoZero"/>
        <c:auto val="1"/>
        <c:lblAlgn val="ctr"/>
        <c:lblOffset val="100"/>
        <c:noMultiLvlLbl val="0"/>
      </c:catAx>
      <c:valAx>
        <c:axId val="29120336"/>
        <c:scaling>
          <c:orientation val="minMax"/>
        </c:scaling>
        <c:delete val="1"/>
        <c:axPos val="l"/>
        <c:numFmt formatCode="General" sourceLinked="1"/>
        <c:majorTickMark val="none"/>
        <c:minorTickMark val="none"/>
        <c:tickLblPos val="nextTo"/>
        <c:crossAx val="29118896"/>
        <c:crosses val="autoZero"/>
        <c:crossBetween val="midCat"/>
      </c:valAx>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22220739356736E-3"/>
          <c:y val="1.4124397241042544E-2"/>
          <c:w val="0.99404761904761907"/>
          <c:h val="0.9576271186440678"/>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2-AD19-4CFA-A801-0FCB63DD5ED4}"/>
            </c:ext>
          </c:extLst>
        </c:ser>
        <c:dLbls>
          <c:showLegendKey val="0"/>
          <c:showVal val="0"/>
          <c:showCatName val="0"/>
          <c:showSerName val="0"/>
          <c:showPercent val="0"/>
          <c:showBubbleSize val="0"/>
        </c:dLbls>
        <c:axId val="133555504"/>
        <c:axId val="133558864"/>
      </c:areaChart>
      <c:catAx>
        <c:axId val="133555504"/>
        <c:scaling>
          <c:orientation val="minMax"/>
        </c:scaling>
        <c:delete val="1"/>
        <c:axPos val="b"/>
        <c:numFmt formatCode="General" sourceLinked="1"/>
        <c:majorTickMark val="out"/>
        <c:minorTickMark val="none"/>
        <c:tickLblPos val="nextTo"/>
        <c:crossAx val="133558864"/>
        <c:crosses val="autoZero"/>
        <c:auto val="1"/>
        <c:lblAlgn val="ctr"/>
        <c:lblOffset val="100"/>
        <c:noMultiLvlLbl val="0"/>
      </c:catAx>
      <c:valAx>
        <c:axId val="133558864"/>
        <c:scaling>
          <c:orientation val="minMax"/>
        </c:scaling>
        <c:delete val="1"/>
        <c:axPos val="l"/>
        <c:numFmt formatCode="0.00" sourceLinked="1"/>
        <c:majorTickMark val="none"/>
        <c:minorTickMark val="none"/>
        <c:tickLblPos val="nextTo"/>
        <c:crossAx val="133555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94470774091624E-3"/>
          <c:y val="1.1820330969267139E-2"/>
          <c:w val="0.99605055292259082"/>
          <c:h val="0.98817966903073284"/>
        </c:manualLayout>
      </c:layout>
      <c:areaChart>
        <c:grouping val="standard"/>
        <c:varyColors val="0"/>
        <c:ser>
          <c:idx val="0"/>
          <c:order val="0"/>
          <c:tx>
            <c:strRef>
              <c:f>'Pivot Report'!$Q$5</c:f>
              <c:strCache>
                <c:ptCount val="1"/>
                <c:pt idx="0">
                  <c:v>Total</c:v>
                </c:pt>
              </c:strCache>
            </c:strRef>
          </c:tx>
          <c:spPr>
            <a:solidFill>
              <a:schemeClr val="accent1"/>
            </a:solidFill>
            <a:ln w="25400">
              <a:noFill/>
            </a:ln>
            <a:effectLst/>
          </c:spPr>
          <c:cat>
            <c:strRef>
              <c:f>'Pivot Report'!$P$6:$P$36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Report'!$Q$6:$Q$36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2-512D-43E3-9CF4-2D183A84A0AB}"/>
            </c:ext>
          </c:extLst>
        </c:ser>
        <c:dLbls>
          <c:showLegendKey val="0"/>
          <c:showVal val="0"/>
          <c:showCatName val="0"/>
          <c:showSerName val="0"/>
          <c:showPercent val="0"/>
          <c:showBubbleSize val="0"/>
        </c:dLbls>
        <c:axId val="31690159"/>
        <c:axId val="31691119"/>
      </c:areaChart>
      <c:catAx>
        <c:axId val="31690159"/>
        <c:scaling>
          <c:orientation val="minMax"/>
        </c:scaling>
        <c:delete val="1"/>
        <c:axPos val="b"/>
        <c:numFmt formatCode="General" sourceLinked="1"/>
        <c:majorTickMark val="out"/>
        <c:minorTickMark val="none"/>
        <c:tickLblPos val="nextTo"/>
        <c:crossAx val="31691119"/>
        <c:crosses val="autoZero"/>
        <c:auto val="1"/>
        <c:lblAlgn val="ctr"/>
        <c:lblOffset val="100"/>
        <c:noMultiLvlLbl val="0"/>
      </c:catAx>
      <c:valAx>
        <c:axId val="31691119"/>
        <c:scaling>
          <c:orientation val="minMax"/>
        </c:scaling>
        <c:delete val="1"/>
        <c:axPos val="l"/>
        <c:numFmt formatCode="0.00" sourceLinked="1"/>
        <c:majorTickMark val="none"/>
        <c:minorTickMark val="none"/>
        <c:tickLblPos val="nextTo"/>
        <c:crossAx val="31690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72265966754157E-3"/>
          <c:y val="7.4404761904761901E-3"/>
          <c:w val="0.99781277340332464"/>
          <c:h val="0.8348343175853018"/>
        </c:manualLayout>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3-587E-418A-AE09-70D9BB34BEE8}"/>
            </c:ext>
          </c:extLst>
        </c:ser>
        <c:dLbls>
          <c:showLegendKey val="0"/>
          <c:showVal val="0"/>
          <c:showCatName val="0"/>
          <c:showSerName val="0"/>
          <c:showPercent val="0"/>
          <c:showBubbleSize val="0"/>
        </c:dLbls>
        <c:gapWidth val="219"/>
        <c:overlap val="-27"/>
        <c:axId val="991973520"/>
        <c:axId val="1022797440"/>
      </c:barChart>
      <c:catAx>
        <c:axId val="99197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797440"/>
        <c:crosses val="autoZero"/>
        <c:auto val="1"/>
        <c:lblAlgn val="ctr"/>
        <c:lblOffset val="100"/>
        <c:noMultiLvlLbl val="0"/>
      </c:catAx>
      <c:valAx>
        <c:axId val="1022797440"/>
        <c:scaling>
          <c:orientation val="minMax"/>
        </c:scaling>
        <c:delete val="1"/>
        <c:axPos val="l"/>
        <c:numFmt formatCode="0" sourceLinked="1"/>
        <c:majorTickMark val="none"/>
        <c:minorTickMark val="none"/>
        <c:tickLblPos val="nextTo"/>
        <c:crossAx val="9919735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Report!PivotTable9</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25834707507111343"/>
          <c:y val="0.15536723163841809"/>
          <c:w val="0.5218150087260035"/>
          <c:h val="0.84463276836158196"/>
        </c:manualLayout>
      </c:layout>
      <c:pieChart>
        <c:varyColors val="1"/>
        <c:ser>
          <c:idx val="0"/>
          <c:order val="0"/>
          <c:tx>
            <c:strRef>
              <c:f>'Pivot Report'!$B$65</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Ontime</c:v>
                </c:pt>
              </c:strCache>
            </c:strRef>
          </c:cat>
          <c:val>
            <c:numRef>
              <c:f>'Pivot Report'!$B$66:$B$68</c:f>
              <c:numCache>
                <c:formatCode>0</c:formatCode>
                <c:ptCount val="2"/>
                <c:pt idx="0">
                  <c:v>297</c:v>
                </c:pt>
                <c:pt idx="1">
                  <c:v>188</c:v>
                </c:pt>
              </c:numCache>
            </c:numRef>
          </c:val>
          <c:extLst>
            <c:ext xmlns:c16="http://schemas.microsoft.com/office/drawing/2014/chart" uri="{C3380CC4-5D6E-409C-BE32-E72D297353CC}">
              <c16:uniqueId val="{00000007-4FE9-4259-B6EE-2CFA25D72A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5617883035938338"/>
          <c:y val="5.2500488058827358E-2"/>
          <c:w val="0.51506317955610004"/>
          <c:h val="7.6064117083369617E-2"/>
        </c:manualLayout>
      </c:layout>
      <c:overlay val="0"/>
      <c:spPr>
        <a:solidFill>
          <a:schemeClr val="lt1">
            <a:alpha val="78000"/>
          </a:schemeClr>
        </a:solid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Report!PivotTable10</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24876080699877062"/>
          <c:y val="0.11561055467238414"/>
          <c:w val="0.50907134280017974"/>
          <c:h val="0.83610028972822803"/>
        </c:manualLayout>
      </c:layout>
      <c:doughnutChart>
        <c:varyColors val="1"/>
        <c:ser>
          <c:idx val="0"/>
          <c:order val="0"/>
          <c:tx>
            <c:strRef>
              <c:f>'Pivot Report'!$B$72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c:formatCode>
                <c:ptCount val="2"/>
                <c:pt idx="0">
                  <c:v>239</c:v>
                </c:pt>
                <c:pt idx="1">
                  <c:v>246</c:v>
                </c:pt>
              </c:numCache>
            </c:numRef>
          </c:val>
          <c:extLst>
            <c:ext xmlns:c16="http://schemas.microsoft.com/office/drawing/2014/chart" uri="{C3380CC4-5D6E-409C-BE32-E72D297353CC}">
              <c16:uniqueId val="{00000007-4972-474B-91CF-4A746AE409A5}"/>
            </c:ext>
          </c:extLst>
        </c:ser>
        <c:dLbls>
          <c:showLegendKey val="0"/>
          <c:showVal val="0"/>
          <c:showCatName val="0"/>
          <c:showSerName val="0"/>
          <c:showPercent val="1"/>
          <c:showBubbleSize val="0"/>
          <c:showLeaderLines val="1"/>
        </c:dLbls>
        <c:firstSliceAng val="0"/>
        <c:holeSize val="59"/>
      </c:doughnutChart>
      <c:spPr>
        <a:noFill/>
        <a:ln>
          <a:noFill/>
        </a:ln>
        <a:effectLst/>
      </c:spPr>
    </c:plotArea>
    <c:legend>
      <c:legendPos val="r"/>
      <c:layout>
        <c:manualLayout>
          <c:xMode val="edge"/>
          <c:yMode val="edge"/>
          <c:x val="0.29443611450221907"/>
          <c:y val="1.6680931142763453E-2"/>
          <c:w val="0.44247422857155105"/>
          <c:h val="0.1024390787592662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6728849753996"/>
          <c:y val="6.8407960199004969E-2"/>
          <c:w val="0.66886353587521985"/>
          <c:h val="0.86318407960199006"/>
        </c:manualLayout>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Report'!$B$79:$B$87</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3-3A85-4C10-8A72-621F3705B07A}"/>
            </c:ext>
          </c:extLst>
        </c:ser>
        <c:dLbls>
          <c:showLegendKey val="0"/>
          <c:showVal val="0"/>
          <c:showCatName val="0"/>
          <c:showSerName val="0"/>
          <c:showPercent val="0"/>
          <c:showBubbleSize val="0"/>
        </c:dLbls>
        <c:gapWidth val="100"/>
        <c:axId val="372690400"/>
        <c:axId val="311037840"/>
      </c:barChart>
      <c:catAx>
        <c:axId val="37269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1037840"/>
        <c:crosses val="autoZero"/>
        <c:auto val="1"/>
        <c:lblAlgn val="ctr"/>
        <c:lblOffset val="100"/>
        <c:noMultiLvlLbl val="0"/>
      </c:catAx>
      <c:valAx>
        <c:axId val="311037840"/>
        <c:scaling>
          <c:orientation val="minMax"/>
        </c:scaling>
        <c:delete val="1"/>
        <c:axPos val="b"/>
        <c:numFmt formatCode="0" sourceLinked="1"/>
        <c:majorTickMark val="none"/>
        <c:minorTickMark val="none"/>
        <c:tickLblPos val="nextTo"/>
        <c:crossAx val="3726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Report!PivotTable5</c:name>
    <c:fmtId val="21"/>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22220739356736E-3"/>
          <c:y val="1.4124397241042544E-2"/>
          <c:w val="0.99404761904761907"/>
          <c:h val="0.9576271186440678"/>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Report'!$M$6:$M$36</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3662-48B9-8AA8-A2CAF906320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3555504"/>
        <c:axId val="133558864"/>
      </c:areaChart>
      <c:catAx>
        <c:axId val="1335555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33558864"/>
        <c:crosses val="autoZero"/>
        <c:auto val="1"/>
        <c:lblAlgn val="ctr"/>
        <c:lblOffset val="100"/>
        <c:noMultiLvlLbl val="0"/>
      </c:catAx>
      <c:valAx>
        <c:axId val="133558864"/>
        <c:scaling>
          <c:orientation val="minMax"/>
        </c:scaling>
        <c:delete val="1"/>
        <c:axPos val="l"/>
        <c:numFmt formatCode="0.00" sourceLinked="1"/>
        <c:majorTickMark val="out"/>
        <c:minorTickMark val="none"/>
        <c:tickLblPos val="nextTo"/>
        <c:crossAx val="133555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Report'!$F$6:$F$36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Report'!$G$6:$G$36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2B4A-4862-B3DE-7AB55C465C8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9118896"/>
        <c:axId val="29120336"/>
      </c:areaChart>
      <c:catAx>
        <c:axId val="291188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9120336"/>
        <c:crosses val="autoZero"/>
        <c:auto val="1"/>
        <c:lblAlgn val="ctr"/>
        <c:lblOffset val="100"/>
        <c:noMultiLvlLbl val="0"/>
      </c:catAx>
      <c:valAx>
        <c:axId val="29120336"/>
        <c:scaling>
          <c:orientation val="minMax"/>
        </c:scaling>
        <c:delete val="1"/>
        <c:axPos val="l"/>
        <c:numFmt formatCode="General" sourceLinked="1"/>
        <c:majorTickMark val="out"/>
        <c:minorTickMark val="none"/>
        <c:tickLblPos val="nextTo"/>
        <c:crossAx val="29118896"/>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94470774091624E-3"/>
          <c:y val="1.1820330969267139E-2"/>
          <c:w val="0.99605055292259082"/>
          <c:h val="0.98817966903073284"/>
        </c:manualLayout>
      </c:layout>
      <c:areaChart>
        <c:grouping val="standard"/>
        <c:varyColors val="0"/>
        <c:ser>
          <c:idx val="0"/>
          <c:order val="0"/>
          <c:tx>
            <c:strRef>
              <c:f>'Pivot Report'!$Q$5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Report'!$P$6:$P$36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Report'!$Q$6:$Q$36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5924-492E-A6A5-74DA290503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690159"/>
        <c:axId val="31691119"/>
      </c:areaChart>
      <c:catAx>
        <c:axId val="316901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31691119"/>
        <c:crosses val="autoZero"/>
        <c:auto val="1"/>
        <c:lblAlgn val="ctr"/>
        <c:lblOffset val="100"/>
        <c:noMultiLvlLbl val="0"/>
      </c:catAx>
      <c:valAx>
        <c:axId val="31691119"/>
        <c:scaling>
          <c:orientation val="minMax"/>
        </c:scaling>
        <c:delete val="1"/>
        <c:axPos val="l"/>
        <c:numFmt formatCode="0.00" sourceLinked="1"/>
        <c:majorTickMark val="out"/>
        <c:minorTickMark val="none"/>
        <c:tickLblPos val="nextTo"/>
        <c:crossAx val="31690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liy Em. Room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116114</xdr:colOff>
      <xdr:row>46</xdr:row>
      <xdr:rowOff>79829</xdr:rowOff>
    </xdr:from>
    <xdr:to>
      <xdr:col>5</xdr:col>
      <xdr:colOff>50800</xdr:colOff>
      <xdr:row>49</xdr:row>
      <xdr:rowOff>36286</xdr:rowOff>
    </xdr:to>
    <xdr:graphicFrame macro="">
      <xdr:nvGraphicFramePr>
        <xdr:cNvPr id="3" name="Chart 2">
          <a:extLst>
            <a:ext uri="{FF2B5EF4-FFF2-40B4-BE49-F238E27FC236}">
              <a16:creationId xmlns:a16="http://schemas.microsoft.com/office/drawing/2014/main" id="{A699A6AD-4F72-663F-98D8-74C84C99D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xdr:colOff>
      <xdr:row>0</xdr:row>
      <xdr:rowOff>49872</xdr:rowOff>
    </xdr:from>
    <xdr:to>
      <xdr:col>7</xdr:col>
      <xdr:colOff>175260</xdr:colOff>
      <xdr:row>3</xdr:row>
      <xdr:rowOff>96000</xdr:rowOff>
    </xdr:to>
    <xdr:sp macro="" textlink="">
      <xdr:nvSpPr>
        <xdr:cNvPr id="2" name="Rectangle: Rounded Corners 1">
          <a:extLst>
            <a:ext uri="{FF2B5EF4-FFF2-40B4-BE49-F238E27FC236}">
              <a16:creationId xmlns:a16="http://schemas.microsoft.com/office/drawing/2014/main" id="{FF846264-A3F5-E767-FD0F-76394B30753C}"/>
            </a:ext>
          </a:extLst>
        </xdr:cNvPr>
        <xdr:cNvSpPr/>
      </xdr:nvSpPr>
      <xdr:spPr>
        <a:xfrm>
          <a:off x="2" y="49872"/>
          <a:ext cx="4442458" cy="59476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266700</xdr:colOff>
      <xdr:row>0</xdr:row>
      <xdr:rowOff>42457</xdr:rowOff>
    </xdr:from>
    <xdr:to>
      <xdr:col>11</xdr:col>
      <xdr:colOff>213360</xdr:colOff>
      <xdr:row>3</xdr:row>
      <xdr:rowOff>91440</xdr:rowOff>
    </xdr:to>
    <xdr:sp macro="" textlink="">
      <xdr:nvSpPr>
        <xdr:cNvPr id="3" name="Rectangle: Rounded Corners 2">
          <a:extLst>
            <a:ext uri="{FF2B5EF4-FFF2-40B4-BE49-F238E27FC236}">
              <a16:creationId xmlns:a16="http://schemas.microsoft.com/office/drawing/2014/main" id="{6042AE71-BCE8-3D58-225D-B677FB47D06F}"/>
            </a:ext>
          </a:extLst>
        </xdr:cNvPr>
        <xdr:cNvSpPr/>
      </xdr:nvSpPr>
      <xdr:spPr>
        <a:xfrm>
          <a:off x="4533900" y="42457"/>
          <a:ext cx="2385060" cy="5976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289559</xdr:colOff>
      <xdr:row>0</xdr:row>
      <xdr:rowOff>78380</xdr:rowOff>
    </xdr:from>
    <xdr:to>
      <xdr:col>15</xdr:col>
      <xdr:colOff>0</xdr:colOff>
      <xdr:row>10</xdr:row>
      <xdr:rowOff>99060</xdr:rowOff>
    </xdr:to>
    <xdr:sp macro="" textlink="">
      <xdr:nvSpPr>
        <xdr:cNvPr id="4" name="Rectangle: Rounded Corners 3">
          <a:extLst>
            <a:ext uri="{FF2B5EF4-FFF2-40B4-BE49-F238E27FC236}">
              <a16:creationId xmlns:a16="http://schemas.microsoft.com/office/drawing/2014/main" id="{C6C3BF02-D8D0-6F2C-0E2E-638942FFD3FE}"/>
            </a:ext>
          </a:extLst>
        </xdr:cNvPr>
        <xdr:cNvSpPr/>
      </xdr:nvSpPr>
      <xdr:spPr>
        <a:xfrm>
          <a:off x="6995159" y="78380"/>
          <a:ext cx="2148841" cy="1849480"/>
        </a:xfrm>
        <a:prstGeom prst="roundRect">
          <a:avLst>
            <a:gd name="adj" fmla="val 1072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369026</xdr:colOff>
      <xdr:row>11</xdr:row>
      <xdr:rowOff>1090</xdr:rowOff>
    </xdr:from>
    <xdr:to>
      <xdr:col>18</xdr:col>
      <xdr:colOff>289559</xdr:colOff>
      <xdr:row>22</xdr:row>
      <xdr:rowOff>30480</xdr:rowOff>
    </xdr:to>
    <xdr:sp macro="" textlink="">
      <xdr:nvSpPr>
        <xdr:cNvPr id="11" name="Rectangle: Rounded Corners 10">
          <a:extLst>
            <a:ext uri="{FF2B5EF4-FFF2-40B4-BE49-F238E27FC236}">
              <a16:creationId xmlns:a16="http://schemas.microsoft.com/office/drawing/2014/main" id="{ADD50DDC-519E-96B3-5C5B-535E331143B9}"/>
            </a:ext>
          </a:extLst>
        </xdr:cNvPr>
        <xdr:cNvSpPr/>
      </xdr:nvSpPr>
      <xdr:spPr>
        <a:xfrm>
          <a:off x="7074626" y="2012770"/>
          <a:ext cx="4187733" cy="2041070"/>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76201</xdr:colOff>
      <xdr:row>3</xdr:row>
      <xdr:rowOff>151313</xdr:rowOff>
    </xdr:from>
    <xdr:to>
      <xdr:col>1</xdr:col>
      <xdr:colOff>566057</xdr:colOff>
      <xdr:row>22</xdr:row>
      <xdr:rowOff>45720</xdr:rowOff>
    </xdr:to>
    <xdr:sp macro="" textlink="">
      <xdr:nvSpPr>
        <xdr:cNvPr id="16" name="Rectangle: Rounded Corners 15">
          <a:extLst>
            <a:ext uri="{FF2B5EF4-FFF2-40B4-BE49-F238E27FC236}">
              <a16:creationId xmlns:a16="http://schemas.microsoft.com/office/drawing/2014/main" id="{EA574AC2-B46B-A0BE-4F45-D7D5CF9F4DCB}"/>
            </a:ext>
          </a:extLst>
        </xdr:cNvPr>
        <xdr:cNvSpPr/>
      </xdr:nvSpPr>
      <xdr:spPr>
        <a:xfrm>
          <a:off x="76201" y="699953"/>
          <a:ext cx="1099456" cy="3369127"/>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169934</xdr:colOff>
      <xdr:row>3</xdr:row>
      <xdr:rowOff>143691</xdr:rowOff>
    </xdr:from>
    <xdr:to>
      <xdr:col>11</xdr:col>
      <xdr:colOff>220981</xdr:colOff>
      <xdr:row>8</xdr:row>
      <xdr:rowOff>114300</xdr:rowOff>
    </xdr:to>
    <xdr:sp macro="" textlink="">
      <xdr:nvSpPr>
        <xdr:cNvPr id="17" name="Rectangle: Rounded Corners 16">
          <a:extLst>
            <a:ext uri="{FF2B5EF4-FFF2-40B4-BE49-F238E27FC236}">
              <a16:creationId xmlns:a16="http://schemas.microsoft.com/office/drawing/2014/main" id="{091EA3F2-BF7E-6695-C412-2C335A47178E}"/>
            </a:ext>
          </a:extLst>
        </xdr:cNvPr>
        <xdr:cNvSpPr/>
      </xdr:nvSpPr>
      <xdr:spPr>
        <a:xfrm>
          <a:off x="5046734" y="692331"/>
          <a:ext cx="1879847" cy="885009"/>
        </a:xfrm>
        <a:prstGeom prst="roundRect">
          <a:avLst>
            <a:gd name="adj" fmla="val 108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33137</xdr:colOff>
      <xdr:row>3</xdr:row>
      <xdr:rowOff>158931</xdr:rowOff>
    </xdr:from>
    <xdr:to>
      <xdr:col>8</xdr:col>
      <xdr:colOff>84184</xdr:colOff>
      <xdr:row>8</xdr:row>
      <xdr:rowOff>106680</xdr:rowOff>
    </xdr:to>
    <xdr:sp macro="" textlink="">
      <xdr:nvSpPr>
        <xdr:cNvPr id="20" name="Rectangle: Rounded Corners 19">
          <a:extLst>
            <a:ext uri="{FF2B5EF4-FFF2-40B4-BE49-F238E27FC236}">
              <a16:creationId xmlns:a16="http://schemas.microsoft.com/office/drawing/2014/main" id="{F35880D9-DE48-D1A6-C093-CD64473F4342}"/>
            </a:ext>
          </a:extLst>
        </xdr:cNvPr>
        <xdr:cNvSpPr/>
      </xdr:nvSpPr>
      <xdr:spPr>
        <a:xfrm>
          <a:off x="3081137" y="707571"/>
          <a:ext cx="1879847" cy="862149"/>
        </a:xfrm>
        <a:prstGeom prst="roundRect">
          <a:avLst>
            <a:gd name="adj" fmla="val 108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54429</xdr:colOff>
      <xdr:row>3</xdr:row>
      <xdr:rowOff>160020</xdr:rowOff>
    </xdr:from>
    <xdr:to>
      <xdr:col>4</xdr:col>
      <xdr:colOff>586740</xdr:colOff>
      <xdr:row>8</xdr:row>
      <xdr:rowOff>99060</xdr:rowOff>
    </xdr:to>
    <xdr:sp macro="" textlink="">
      <xdr:nvSpPr>
        <xdr:cNvPr id="21" name="Rectangle: Rounded Corners 20">
          <a:extLst>
            <a:ext uri="{FF2B5EF4-FFF2-40B4-BE49-F238E27FC236}">
              <a16:creationId xmlns:a16="http://schemas.microsoft.com/office/drawing/2014/main" id="{3614AEB5-1CA4-6019-76C4-17A86A4C499E}"/>
            </a:ext>
          </a:extLst>
        </xdr:cNvPr>
        <xdr:cNvSpPr/>
      </xdr:nvSpPr>
      <xdr:spPr>
        <a:xfrm>
          <a:off x="1273629" y="708660"/>
          <a:ext cx="1751511" cy="853440"/>
        </a:xfrm>
        <a:prstGeom prst="roundRect">
          <a:avLst>
            <a:gd name="adj" fmla="val 1089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16333</xdr:colOff>
      <xdr:row>12</xdr:row>
      <xdr:rowOff>154580</xdr:rowOff>
    </xdr:from>
    <xdr:to>
      <xdr:col>11</xdr:col>
      <xdr:colOff>274320</xdr:colOff>
      <xdr:row>22</xdr:row>
      <xdr:rowOff>15241</xdr:rowOff>
    </xdr:to>
    <xdr:sp macro="" textlink="">
      <xdr:nvSpPr>
        <xdr:cNvPr id="24" name="Rectangle: Rounded Corners 23">
          <a:extLst>
            <a:ext uri="{FF2B5EF4-FFF2-40B4-BE49-F238E27FC236}">
              <a16:creationId xmlns:a16="http://schemas.microsoft.com/office/drawing/2014/main" id="{CB0229E3-95A2-AAA5-FF41-B18AD1419111}"/>
            </a:ext>
          </a:extLst>
        </xdr:cNvPr>
        <xdr:cNvSpPr/>
      </xdr:nvSpPr>
      <xdr:spPr>
        <a:xfrm>
          <a:off x="1235533" y="2349140"/>
          <a:ext cx="5744387" cy="1689461"/>
        </a:xfrm>
        <a:prstGeom prst="roundRect">
          <a:avLst>
            <a:gd name="adj" fmla="val 7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34838</xdr:colOff>
      <xdr:row>9</xdr:row>
      <xdr:rowOff>1089</xdr:rowOff>
    </xdr:from>
    <xdr:to>
      <xdr:col>11</xdr:col>
      <xdr:colOff>243840</xdr:colOff>
      <xdr:row>12</xdr:row>
      <xdr:rowOff>88176</xdr:rowOff>
    </xdr:to>
    <xdr:sp macro="" textlink="">
      <xdr:nvSpPr>
        <xdr:cNvPr id="25" name="Rectangle: Rounded Corners 24">
          <a:extLst>
            <a:ext uri="{FF2B5EF4-FFF2-40B4-BE49-F238E27FC236}">
              <a16:creationId xmlns:a16="http://schemas.microsoft.com/office/drawing/2014/main" id="{BE98F078-8A9B-A987-03A1-71B9D6745D96}"/>
            </a:ext>
          </a:extLst>
        </xdr:cNvPr>
        <xdr:cNvSpPr/>
      </xdr:nvSpPr>
      <xdr:spPr>
        <a:xfrm>
          <a:off x="1254038" y="1647009"/>
          <a:ext cx="5695402" cy="635727"/>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15</xdr:col>
      <xdr:colOff>80555</xdr:colOff>
      <xdr:row>0</xdr:row>
      <xdr:rowOff>55519</xdr:rowOff>
    </xdr:from>
    <xdr:to>
      <xdr:col>18</xdr:col>
      <xdr:colOff>289560</xdr:colOff>
      <xdr:row>10</xdr:row>
      <xdr:rowOff>76200</xdr:rowOff>
    </xdr:to>
    <xdr:sp macro="" textlink="">
      <xdr:nvSpPr>
        <xdr:cNvPr id="34" name="Rectangle: Rounded Corners 33">
          <a:extLst>
            <a:ext uri="{FF2B5EF4-FFF2-40B4-BE49-F238E27FC236}">
              <a16:creationId xmlns:a16="http://schemas.microsoft.com/office/drawing/2014/main" id="{7663BB9E-D5B6-1050-780C-1E727AA97870}"/>
            </a:ext>
          </a:extLst>
        </xdr:cNvPr>
        <xdr:cNvSpPr/>
      </xdr:nvSpPr>
      <xdr:spPr>
        <a:xfrm>
          <a:off x="9224555" y="55519"/>
          <a:ext cx="2037805" cy="1849481"/>
        </a:xfrm>
        <a:prstGeom prst="roundRect">
          <a:avLst>
            <a:gd name="adj" fmla="val 93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195943</xdr:colOff>
      <xdr:row>0</xdr:row>
      <xdr:rowOff>83821</xdr:rowOff>
    </xdr:from>
    <xdr:to>
      <xdr:col>6</xdr:col>
      <xdr:colOff>266700</xdr:colOff>
      <xdr:row>1</xdr:row>
      <xdr:rowOff>121920</xdr:rowOff>
    </xdr:to>
    <xdr:sp macro="" textlink="">
      <xdr:nvSpPr>
        <xdr:cNvPr id="39" name="TextBox 38">
          <a:extLst>
            <a:ext uri="{FF2B5EF4-FFF2-40B4-BE49-F238E27FC236}">
              <a16:creationId xmlns:a16="http://schemas.microsoft.com/office/drawing/2014/main" id="{280AA927-5101-3868-2EB6-3A9501966575}"/>
            </a:ext>
          </a:extLst>
        </xdr:cNvPr>
        <xdr:cNvSpPr txBox="1"/>
      </xdr:nvSpPr>
      <xdr:spPr>
        <a:xfrm>
          <a:off x="1415143" y="83821"/>
          <a:ext cx="2509157"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 Emergency</a:t>
          </a:r>
          <a:r>
            <a:rPr lang="en-IN" sz="1200" b="1" baseline="0"/>
            <a:t> Room Dashboard</a:t>
          </a:r>
          <a:endParaRPr lang="en-IN" sz="1200" b="1"/>
        </a:p>
      </xdr:txBody>
    </xdr:sp>
    <xdr:clientData/>
  </xdr:twoCellAnchor>
  <xdr:twoCellAnchor editAs="oneCell">
    <xdr:from>
      <xdr:col>0</xdr:col>
      <xdr:colOff>53340</xdr:colOff>
      <xdr:row>0</xdr:row>
      <xdr:rowOff>7620</xdr:rowOff>
    </xdr:from>
    <xdr:to>
      <xdr:col>2</xdr:col>
      <xdr:colOff>114300</xdr:colOff>
      <xdr:row>3</xdr:row>
      <xdr:rowOff>76200</xdr:rowOff>
    </xdr:to>
    <xdr:pic>
      <xdr:nvPicPr>
        <xdr:cNvPr id="6" name="Picture 5">
          <a:extLst>
            <a:ext uri="{FF2B5EF4-FFF2-40B4-BE49-F238E27FC236}">
              <a16:creationId xmlns:a16="http://schemas.microsoft.com/office/drawing/2014/main" id="{99F32269-609B-07DD-680F-722023F125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449" r="11580" b="10347"/>
        <a:stretch>
          <a:fillRect/>
        </a:stretch>
      </xdr:blipFill>
      <xdr:spPr>
        <a:xfrm>
          <a:off x="53340" y="7620"/>
          <a:ext cx="1280160" cy="617220"/>
        </a:xfrm>
        <a:prstGeom prst="rect">
          <a:avLst/>
        </a:prstGeom>
      </xdr:spPr>
    </xdr:pic>
    <xdr:clientData/>
  </xdr:twoCellAnchor>
  <xdr:twoCellAnchor editAs="absolute">
    <xdr:from>
      <xdr:col>2</xdr:col>
      <xdr:colOff>163002</xdr:colOff>
      <xdr:row>1</xdr:row>
      <xdr:rowOff>130666</xdr:rowOff>
    </xdr:from>
    <xdr:to>
      <xdr:col>6</xdr:col>
      <xdr:colOff>208202</xdr:colOff>
      <xdr:row>2</xdr:row>
      <xdr:rowOff>166516</xdr:rowOff>
    </xdr:to>
    <xdr:sp macro="" textlink="">
      <xdr:nvSpPr>
        <xdr:cNvPr id="7" name="TextBox 6">
          <a:extLst>
            <a:ext uri="{FF2B5EF4-FFF2-40B4-BE49-F238E27FC236}">
              <a16:creationId xmlns:a16="http://schemas.microsoft.com/office/drawing/2014/main" id="{A9CF70B4-18F0-91BB-EEF4-B88580FB89C2}"/>
            </a:ext>
          </a:extLst>
        </xdr:cNvPr>
        <xdr:cNvSpPr txBox="1"/>
      </xdr:nvSpPr>
      <xdr:spPr>
        <a:xfrm>
          <a:off x="1382202" y="313546"/>
          <a:ext cx="2483600" cy="218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t>Monthly</a:t>
          </a:r>
          <a:r>
            <a:rPr lang="en-IN" sz="1200" b="0" baseline="0"/>
            <a:t> Report</a:t>
          </a:r>
          <a:endParaRPr lang="en-IN" sz="1200" b="0"/>
        </a:p>
      </xdr:txBody>
    </xdr:sp>
    <xdr:clientData/>
  </xdr:twoCellAnchor>
  <xdr:twoCellAnchor>
    <xdr:from>
      <xdr:col>8</xdr:col>
      <xdr:colOff>251460</xdr:colOff>
      <xdr:row>5</xdr:row>
      <xdr:rowOff>68580</xdr:rowOff>
    </xdr:from>
    <xdr:to>
      <xdr:col>11</xdr:col>
      <xdr:colOff>99060</xdr:colOff>
      <xdr:row>6</xdr:row>
      <xdr:rowOff>114300</xdr:rowOff>
    </xdr:to>
    <xdr:sp macro="" textlink="">
      <xdr:nvSpPr>
        <xdr:cNvPr id="9" name="TextBox 8">
          <a:extLst>
            <a:ext uri="{FF2B5EF4-FFF2-40B4-BE49-F238E27FC236}">
              <a16:creationId xmlns:a16="http://schemas.microsoft.com/office/drawing/2014/main" id="{5AE3D9F8-7030-EB04-F958-C3442CC9C120}"/>
            </a:ext>
          </a:extLst>
        </xdr:cNvPr>
        <xdr:cNvSpPr txBox="1"/>
      </xdr:nvSpPr>
      <xdr:spPr>
        <a:xfrm>
          <a:off x="5128260" y="982980"/>
          <a:ext cx="16764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Patients Satisfaction Score</a:t>
          </a:r>
        </a:p>
      </xdr:txBody>
    </xdr:sp>
    <xdr:clientData/>
  </xdr:twoCellAnchor>
  <xdr:twoCellAnchor>
    <xdr:from>
      <xdr:col>5</xdr:col>
      <xdr:colOff>312420</xdr:colOff>
      <xdr:row>5</xdr:row>
      <xdr:rowOff>68580</xdr:rowOff>
    </xdr:from>
    <xdr:to>
      <xdr:col>7</xdr:col>
      <xdr:colOff>434340</xdr:colOff>
      <xdr:row>6</xdr:row>
      <xdr:rowOff>99060</xdr:rowOff>
    </xdr:to>
    <xdr:sp macro="" textlink="">
      <xdr:nvSpPr>
        <xdr:cNvPr id="12" name="TextBox 11">
          <a:extLst>
            <a:ext uri="{FF2B5EF4-FFF2-40B4-BE49-F238E27FC236}">
              <a16:creationId xmlns:a16="http://schemas.microsoft.com/office/drawing/2014/main" id="{DDD5E0BB-F86D-DF5F-5469-92C4277856DC}"/>
            </a:ext>
          </a:extLst>
        </xdr:cNvPr>
        <xdr:cNvSpPr txBox="1"/>
      </xdr:nvSpPr>
      <xdr:spPr>
        <a:xfrm>
          <a:off x="3360420" y="982980"/>
          <a:ext cx="134112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a:t>
          </a:r>
          <a:r>
            <a:rPr lang="en-IN" sz="1000" baseline="0"/>
            <a:t> Wait Time (Min)</a:t>
          </a:r>
          <a:endParaRPr lang="en-IN" sz="1000"/>
        </a:p>
      </xdr:txBody>
    </xdr:sp>
    <xdr:clientData/>
  </xdr:twoCellAnchor>
  <xdr:twoCellAnchor>
    <xdr:from>
      <xdr:col>2</xdr:col>
      <xdr:colOff>350520</xdr:colOff>
      <xdr:row>5</xdr:row>
      <xdr:rowOff>45720</xdr:rowOff>
    </xdr:from>
    <xdr:to>
      <xdr:col>4</xdr:col>
      <xdr:colOff>365760</xdr:colOff>
      <xdr:row>6</xdr:row>
      <xdr:rowOff>121920</xdr:rowOff>
    </xdr:to>
    <xdr:sp macro="" textlink="">
      <xdr:nvSpPr>
        <xdr:cNvPr id="15" name="TextBox 14">
          <a:extLst>
            <a:ext uri="{FF2B5EF4-FFF2-40B4-BE49-F238E27FC236}">
              <a16:creationId xmlns:a16="http://schemas.microsoft.com/office/drawing/2014/main" id="{11E651CE-3A11-1D68-2D28-D8E3E9CAB565}"/>
            </a:ext>
          </a:extLst>
        </xdr:cNvPr>
        <xdr:cNvSpPr txBox="1"/>
      </xdr:nvSpPr>
      <xdr:spPr>
        <a:xfrm>
          <a:off x="1569720" y="960120"/>
          <a:ext cx="12344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No.</a:t>
          </a:r>
          <a:r>
            <a:rPr lang="en-IN" sz="1000" baseline="0"/>
            <a:t> Of Patients</a:t>
          </a:r>
          <a:endParaRPr lang="en-IN" sz="1000"/>
        </a:p>
      </xdr:txBody>
    </xdr:sp>
    <xdr:clientData/>
  </xdr:twoCellAnchor>
  <xdr:twoCellAnchor editAs="oneCell">
    <xdr:from>
      <xdr:col>2</xdr:col>
      <xdr:colOff>38100</xdr:colOff>
      <xdr:row>3</xdr:row>
      <xdr:rowOff>160020</xdr:rowOff>
    </xdr:from>
    <xdr:to>
      <xdr:col>2</xdr:col>
      <xdr:colOff>289560</xdr:colOff>
      <xdr:row>5</xdr:row>
      <xdr:rowOff>45720</xdr:rowOff>
    </xdr:to>
    <xdr:pic>
      <xdr:nvPicPr>
        <xdr:cNvPr id="19" name="Graphic 18" descr="Male profile with solid fill">
          <a:extLst>
            <a:ext uri="{FF2B5EF4-FFF2-40B4-BE49-F238E27FC236}">
              <a16:creationId xmlns:a16="http://schemas.microsoft.com/office/drawing/2014/main" id="{A0927CA7-EF63-0A91-0D80-D00E3CBE140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57300" y="708660"/>
          <a:ext cx="251460" cy="251460"/>
        </a:xfrm>
        <a:prstGeom prst="rect">
          <a:avLst/>
        </a:prstGeom>
      </xdr:spPr>
    </xdr:pic>
    <xdr:clientData/>
  </xdr:twoCellAnchor>
  <xdr:twoCellAnchor editAs="oneCell">
    <xdr:from>
      <xdr:col>5</xdr:col>
      <xdr:colOff>38100</xdr:colOff>
      <xdr:row>3</xdr:row>
      <xdr:rowOff>175260</xdr:rowOff>
    </xdr:from>
    <xdr:to>
      <xdr:col>5</xdr:col>
      <xdr:colOff>320040</xdr:colOff>
      <xdr:row>5</xdr:row>
      <xdr:rowOff>91440</xdr:rowOff>
    </xdr:to>
    <xdr:pic>
      <xdr:nvPicPr>
        <xdr:cNvPr id="23" name="Graphic 22" descr="Clock with solid fill">
          <a:extLst>
            <a:ext uri="{FF2B5EF4-FFF2-40B4-BE49-F238E27FC236}">
              <a16:creationId xmlns:a16="http://schemas.microsoft.com/office/drawing/2014/main" id="{6F50A61D-68E6-922F-3431-A9A68FC1EC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86100" y="723900"/>
          <a:ext cx="281940" cy="281940"/>
        </a:xfrm>
        <a:prstGeom prst="rect">
          <a:avLst/>
        </a:prstGeom>
      </xdr:spPr>
    </xdr:pic>
    <xdr:clientData/>
  </xdr:twoCellAnchor>
  <xdr:twoCellAnchor editAs="oneCell">
    <xdr:from>
      <xdr:col>8</xdr:col>
      <xdr:colOff>198120</xdr:colOff>
      <xdr:row>3</xdr:row>
      <xdr:rowOff>144780</xdr:rowOff>
    </xdr:from>
    <xdr:to>
      <xdr:col>8</xdr:col>
      <xdr:colOff>472440</xdr:colOff>
      <xdr:row>5</xdr:row>
      <xdr:rowOff>99060</xdr:rowOff>
    </xdr:to>
    <xdr:pic>
      <xdr:nvPicPr>
        <xdr:cNvPr id="27" name="Graphic 26" descr="Customer review with solid fill">
          <a:extLst>
            <a:ext uri="{FF2B5EF4-FFF2-40B4-BE49-F238E27FC236}">
              <a16:creationId xmlns:a16="http://schemas.microsoft.com/office/drawing/2014/main" id="{3BA60BD8-456A-7B90-E749-60245273DDC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74920" y="693420"/>
          <a:ext cx="274320" cy="320040"/>
        </a:xfrm>
        <a:prstGeom prst="rect">
          <a:avLst/>
        </a:prstGeom>
      </xdr:spPr>
    </xdr:pic>
    <xdr:clientData/>
  </xdr:twoCellAnchor>
  <xdr:twoCellAnchor>
    <xdr:from>
      <xdr:col>3</xdr:col>
      <xdr:colOff>83820</xdr:colOff>
      <xdr:row>3</xdr:row>
      <xdr:rowOff>175260</xdr:rowOff>
    </xdr:from>
    <xdr:to>
      <xdr:col>3</xdr:col>
      <xdr:colOff>579120</xdr:colOff>
      <xdr:row>5</xdr:row>
      <xdr:rowOff>30480</xdr:rowOff>
    </xdr:to>
    <xdr:sp macro="" textlink="'Pivot Report'!A2">
      <xdr:nvSpPr>
        <xdr:cNvPr id="28" name="TextBox 27">
          <a:extLst>
            <a:ext uri="{FF2B5EF4-FFF2-40B4-BE49-F238E27FC236}">
              <a16:creationId xmlns:a16="http://schemas.microsoft.com/office/drawing/2014/main" id="{365FF46F-6D32-E5D5-AE63-984150CB0BD3}"/>
            </a:ext>
          </a:extLst>
        </xdr:cNvPr>
        <xdr:cNvSpPr txBox="1"/>
      </xdr:nvSpPr>
      <xdr:spPr>
        <a:xfrm>
          <a:off x="1912620" y="723900"/>
          <a:ext cx="4953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2798ED5-507F-4069-B664-4E8C64317AE1}" type="TxLink">
            <a:rPr lang="en-US" sz="1100" b="1" i="0" u="none" strike="noStrike">
              <a:solidFill>
                <a:srgbClr val="000000"/>
              </a:solidFill>
              <a:latin typeface="Calibri"/>
              <a:ea typeface="Calibri"/>
              <a:cs typeface="Calibri"/>
            </a:rPr>
            <a:pPr/>
            <a:t>485</a:t>
          </a:fld>
          <a:endParaRPr lang="en-US" sz="1100" b="1"/>
        </a:p>
      </xdr:txBody>
    </xdr:sp>
    <xdr:clientData/>
  </xdr:twoCellAnchor>
  <xdr:twoCellAnchor>
    <xdr:from>
      <xdr:col>5</xdr:col>
      <xdr:colOff>586740</xdr:colOff>
      <xdr:row>4</xdr:row>
      <xdr:rowOff>13063</xdr:rowOff>
    </xdr:from>
    <xdr:to>
      <xdr:col>7</xdr:col>
      <xdr:colOff>15240</xdr:colOff>
      <xdr:row>5</xdr:row>
      <xdr:rowOff>38100</xdr:rowOff>
    </xdr:to>
    <xdr:sp macro="" textlink="'Pivot Report'!A8">
      <xdr:nvSpPr>
        <xdr:cNvPr id="29" name="TextBox 28">
          <a:extLst>
            <a:ext uri="{FF2B5EF4-FFF2-40B4-BE49-F238E27FC236}">
              <a16:creationId xmlns:a16="http://schemas.microsoft.com/office/drawing/2014/main" id="{E715A457-7DE0-958D-C266-325E7ED4AD61}"/>
            </a:ext>
          </a:extLst>
        </xdr:cNvPr>
        <xdr:cNvSpPr txBox="1"/>
      </xdr:nvSpPr>
      <xdr:spPr>
        <a:xfrm flipH="1">
          <a:off x="3634740" y="744583"/>
          <a:ext cx="647700" cy="207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1D18F2-C3F9-47CB-A4D1-C73D24CE7E3C}" type="TxLink">
            <a:rPr lang="en-US" sz="1100" b="1" i="0" u="none" strike="noStrike">
              <a:solidFill>
                <a:srgbClr val="000000"/>
              </a:solidFill>
              <a:latin typeface="Calibri"/>
              <a:ea typeface="Calibri"/>
              <a:cs typeface="Calibri"/>
            </a:rPr>
            <a:pPr algn="ctr"/>
            <a:t>35.51</a:t>
          </a:fld>
          <a:endParaRPr lang="en-IN" sz="1100" b="1"/>
        </a:p>
      </xdr:txBody>
    </xdr:sp>
    <xdr:clientData/>
  </xdr:twoCellAnchor>
  <xdr:twoCellAnchor>
    <xdr:from>
      <xdr:col>9</xdr:col>
      <xdr:colOff>137160</xdr:colOff>
      <xdr:row>3</xdr:row>
      <xdr:rowOff>173083</xdr:rowOff>
    </xdr:from>
    <xdr:to>
      <xdr:col>10</xdr:col>
      <xdr:colOff>236220</xdr:colOff>
      <xdr:row>5</xdr:row>
      <xdr:rowOff>30480</xdr:rowOff>
    </xdr:to>
    <xdr:sp macro="" textlink="'Pivot Report'!A13">
      <xdr:nvSpPr>
        <xdr:cNvPr id="30" name="TextBox 29">
          <a:extLst>
            <a:ext uri="{FF2B5EF4-FFF2-40B4-BE49-F238E27FC236}">
              <a16:creationId xmlns:a16="http://schemas.microsoft.com/office/drawing/2014/main" id="{7F4762BC-42B0-657C-EEB1-610663E56ECE}"/>
            </a:ext>
          </a:extLst>
        </xdr:cNvPr>
        <xdr:cNvSpPr txBox="1"/>
      </xdr:nvSpPr>
      <xdr:spPr>
        <a:xfrm>
          <a:off x="5623560" y="721723"/>
          <a:ext cx="708660" cy="223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6D646D-3D96-4DD2-81BF-F03C4D0BAE16}" type="TxLink">
            <a:rPr lang="en-US" sz="1100" b="1" i="0" u="none" strike="noStrike">
              <a:solidFill>
                <a:srgbClr val="000000"/>
              </a:solidFill>
              <a:latin typeface="Calibri"/>
              <a:ea typeface="Calibri"/>
              <a:cs typeface="Calibri"/>
            </a:rPr>
            <a:pPr algn="ctr"/>
            <a:t>4.71</a:t>
          </a:fld>
          <a:endParaRPr lang="en-IN" sz="1100" b="1"/>
        </a:p>
      </xdr:txBody>
    </xdr:sp>
    <xdr:clientData/>
  </xdr:twoCellAnchor>
  <xdr:twoCellAnchor editAs="oneCell">
    <xdr:from>
      <xdr:col>0</xdr:col>
      <xdr:colOff>76200</xdr:colOff>
      <xdr:row>3</xdr:row>
      <xdr:rowOff>137161</xdr:rowOff>
    </xdr:from>
    <xdr:to>
      <xdr:col>1</xdr:col>
      <xdr:colOff>567600</xdr:colOff>
      <xdr:row>22</xdr:row>
      <xdr:rowOff>46441</xdr:rowOff>
    </xdr:to>
    <mc:AlternateContent xmlns:mc="http://schemas.openxmlformats.org/markup-compatibility/2006">
      <mc:Choice xmlns:a14="http://schemas.microsoft.com/office/drawing/2010/main" Requires="a14">
        <xdr:graphicFrame macro="">
          <xdr:nvGraphicFramePr>
            <xdr:cNvPr id="5" name="Date (Month)">
              <a:extLst>
                <a:ext uri="{FF2B5EF4-FFF2-40B4-BE49-F238E27FC236}">
                  <a16:creationId xmlns:a16="http://schemas.microsoft.com/office/drawing/2014/main" id="{2E3DDFA1-0001-4A97-8849-5E8E2EBC478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6200" y="689611"/>
              <a:ext cx="1101000" cy="3408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571500</xdr:colOff>
      <xdr:row>5</xdr:row>
      <xdr:rowOff>137160</xdr:rowOff>
    </xdr:from>
    <xdr:to>
      <xdr:col>5</xdr:col>
      <xdr:colOff>45720</xdr:colOff>
      <xdr:row>9</xdr:row>
      <xdr:rowOff>22860</xdr:rowOff>
    </xdr:to>
    <xdr:graphicFrame macro="">
      <xdr:nvGraphicFramePr>
        <xdr:cNvPr id="8" name="Chart 7">
          <a:hlinkClick xmlns:r="http://schemas.openxmlformats.org/officeDocument/2006/relationships" r:id="rId8"/>
          <a:extLst>
            <a:ext uri="{FF2B5EF4-FFF2-40B4-BE49-F238E27FC236}">
              <a16:creationId xmlns:a16="http://schemas.microsoft.com/office/drawing/2014/main" id="{C6994EF6-A57A-4944-BB8F-44293095F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76200</xdr:colOff>
      <xdr:row>6</xdr:row>
      <xdr:rowOff>129540</xdr:rowOff>
    </xdr:from>
    <xdr:to>
      <xdr:col>8</xdr:col>
      <xdr:colOff>45720</xdr:colOff>
      <xdr:row>8</xdr:row>
      <xdr:rowOff>91440</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B5C1BD18-CC10-4FB1-9053-065D7F734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205740</xdr:colOff>
      <xdr:row>4</xdr:row>
      <xdr:rowOff>137160</xdr:rowOff>
    </xdr:from>
    <xdr:to>
      <xdr:col>11</xdr:col>
      <xdr:colOff>205740</xdr:colOff>
      <xdr:row>8</xdr:row>
      <xdr:rowOff>76200</xdr:rowOff>
    </xdr:to>
    <xdr:graphicFrame macro="">
      <xdr:nvGraphicFramePr>
        <xdr:cNvPr id="10" name="Chart 9">
          <a:hlinkClick xmlns:r="http://schemas.openxmlformats.org/officeDocument/2006/relationships" r:id="rId12"/>
          <a:extLst>
            <a:ext uri="{FF2B5EF4-FFF2-40B4-BE49-F238E27FC236}">
              <a16:creationId xmlns:a16="http://schemas.microsoft.com/office/drawing/2014/main" id="{C6C57AA6-7C4D-4A80-856F-8998F3F69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22860</xdr:colOff>
          <xdr:row>8</xdr:row>
          <xdr:rowOff>175260</xdr:rowOff>
        </xdr:from>
        <xdr:to>
          <xdr:col>11</xdr:col>
          <xdr:colOff>228600</xdr:colOff>
          <xdr:row>12</xdr:row>
          <xdr:rowOff>83820</xdr:rowOff>
        </xdr:to>
        <xdr:pic>
          <xdr:nvPicPr>
            <xdr:cNvPr id="31" name="Picture 30">
              <a:extLst>
                <a:ext uri="{FF2B5EF4-FFF2-40B4-BE49-F238E27FC236}">
                  <a16:creationId xmlns:a16="http://schemas.microsoft.com/office/drawing/2014/main" id="{4FC796A2-F596-61D5-8033-26B3F614ADA4}"/>
                </a:ext>
              </a:extLst>
            </xdr:cNvPr>
            <xdr:cNvPicPr>
              <a:picLocks noChangeAspect="1" noChangeArrowheads="1"/>
              <a:extLst>
                <a:ext uri="{84589F7E-364E-4C9E-8A38-B11213B215E9}">
                  <a14:cameraTool cellRange="'Pivot Report'!$A$47:$E$49" spid="_x0000_s2063"/>
                </a:ext>
              </a:extLst>
            </xdr:cNvPicPr>
          </xdr:nvPicPr>
          <xdr:blipFill>
            <a:blip xmlns:r="http://schemas.openxmlformats.org/officeDocument/2006/relationships" r:embed="rId14"/>
            <a:srcRect/>
            <a:stretch>
              <a:fillRect/>
            </a:stretch>
          </xdr:blipFill>
          <xdr:spPr bwMode="auto">
            <a:xfrm>
              <a:off x="1242060" y="1638300"/>
              <a:ext cx="5692140" cy="6400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7620</xdr:colOff>
      <xdr:row>12</xdr:row>
      <xdr:rowOff>137160</xdr:rowOff>
    </xdr:from>
    <xdr:to>
      <xdr:col>11</xdr:col>
      <xdr:colOff>236220</xdr:colOff>
      <xdr:row>20</xdr:row>
      <xdr:rowOff>68580</xdr:rowOff>
    </xdr:to>
    <xdr:graphicFrame macro="">
      <xdr:nvGraphicFramePr>
        <xdr:cNvPr id="32" name="Chart 31">
          <a:extLst>
            <a:ext uri="{FF2B5EF4-FFF2-40B4-BE49-F238E27FC236}">
              <a16:creationId xmlns:a16="http://schemas.microsoft.com/office/drawing/2014/main" id="{5C3A0BD6-0D7B-4A47-88F9-AA6019B46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53340</xdr:colOff>
      <xdr:row>8</xdr:row>
      <xdr:rowOff>138250</xdr:rowOff>
    </xdr:from>
    <xdr:to>
      <xdr:col>14</xdr:col>
      <xdr:colOff>121920</xdr:colOff>
      <xdr:row>9</xdr:row>
      <xdr:rowOff>175260</xdr:rowOff>
    </xdr:to>
    <xdr:sp macro="" textlink="">
      <xdr:nvSpPr>
        <xdr:cNvPr id="37" name="TextBox 36">
          <a:extLst>
            <a:ext uri="{FF2B5EF4-FFF2-40B4-BE49-F238E27FC236}">
              <a16:creationId xmlns:a16="http://schemas.microsoft.com/office/drawing/2014/main" id="{02EE8C9D-0739-455A-BE91-9ACCA24AFAE1}"/>
            </a:ext>
          </a:extLst>
        </xdr:cNvPr>
        <xdr:cNvSpPr txBox="1"/>
      </xdr:nvSpPr>
      <xdr:spPr>
        <a:xfrm>
          <a:off x="7368540" y="1601290"/>
          <a:ext cx="1287780" cy="219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t>Patient Attend Status</a:t>
          </a:r>
          <a:endParaRPr lang="en-IN" sz="1000"/>
        </a:p>
      </xdr:txBody>
    </xdr:sp>
    <xdr:clientData/>
  </xdr:twoCellAnchor>
  <xdr:twoCellAnchor>
    <xdr:from>
      <xdr:col>11</xdr:col>
      <xdr:colOff>289560</xdr:colOff>
      <xdr:row>0</xdr:row>
      <xdr:rowOff>60960</xdr:rowOff>
    </xdr:from>
    <xdr:to>
      <xdr:col>14</xdr:col>
      <xdr:colOff>541020</xdr:colOff>
      <xdr:row>8</xdr:row>
      <xdr:rowOff>175260</xdr:rowOff>
    </xdr:to>
    <xdr:graphicFrame macro="">
      <xdr:nvGraphicFramePr>
        <xdr:cNvPr id="38" name="Chart 37">
          <a:extLst>
            <a:ext uri="{FF2B5EF4-FFF2-40B4-BE49-F238E27FC236}">
              <a16:creationId xmlns:a16="http://schemas.microsoft.com/office/drawing/2014/main" id="{653A07AE-7CF1-42F2-9907-C4705A931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99060</xdr:colOff>
      <xdr:row>0</xdr:row>
      <xdr:rowOff>108859</xdr:rowOff>
    </xdr:from>
    <xdr:to>
      <xdr:col>18</xdr:col>
      <xdr:colOff>266700</xdr:colOff>
      <xdr:row>8</xdr:row>
      <xdr:rowOff>167640</xdr:rowOff>
    </xdr:to>
    <xdr:graphicFrame macro="">
      <xdr:nvGraphicFramePr>
        <xdr:cNvPr id="42" name="Chart 41">
          <a:extLst>
            <a:ext uri="{FF2B5EF4-FFF2-40B4-BE49-F238E27FC236}">
              <a16:creationId xmlns:a16="http://schemas.microsoft.com/office/drawing/2014/main" id="{B09968F9-0AE4-4166-BB46-24786D4B6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297180</xdr:colOff>
      <xdr:row>8</xdr:row>
      <xdr:rowOff>129540</xdr:rowOff>
    </xdr:from>
    <xdr:to>
      <xdr:col>18</xdr:col>
      <xdr:colOff>53340</xdr:colOff>
      <xdr:row>10</xdr:row>
      <xdr:rowOff>22860</xdr:rowOff>
    </xdr:to>
    <xdr:sp macro="" textlink="">
      <xdr:nvSpPr>
        <xdr:cNvPr id="46" name="TextBox 45">
          <a:extLst>
            <a:ext uri="{FF2B5EF4-FFF2-40B4-BE49-F238E27FC236}">
              <a16:creationId xmlns:a16="http://schemas.microsoft.com/office/drawing/2014/main" id="{C743FF1F-29D5-7050-B970-DA1AE4B896FC}"/>
            </a:ext>
          </a:extLst>
        </xdr:cNvPr>
        <xdr:cNvSpPr txBox="1"/>
      </xdr:nvSpPr>
      <xdr:spPr>
        <a:xfrm>
          <a:off x="9441180" y="1592580"/>
          <a:ext cx="158496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t>Gender Wise Analysis</a:t>
          </a:r>
          <a:endParaRPr lang="en-IN" sz="1000"/>
        </a:p>
      </xdr:txBody>
    </xdr:sp>
    <xdr:clientData/>
  </xdr:twoCellAnchor>
  <xdr:twoCellAnchor>
    <xdr:from>
      <xdr:col>11</xdr:col>
      <xdr:colOff>320040</xdr:colOff>
      <xdr:row>10</xdr:row>
      <xdr:rowOff>152400</xdr:rowOff>
    </xdr:from>
    <xdr:to>
      <xdr:col>18</xdr:col>
      <xdr:colOff>289560</xdr:colOff>
      <xdr:row>21</xdr:row>
      <xdr:rowOff>38100</xdr:rowOff>
    </xdr:to>
    <xdr:graphicFrame macro="">
      <xdr:nvGraphicFramePr>
        <xdr:cNvPr id="47" name="Chart 46">
          <a:extLst>
            <a:ext uri="{FF2B5EF4-FFF2-40B4-BE49-F238E27FC236}">
              <a16:creationId xmlns:a16="http://schemas.microsoft.com/office/drawing/2014/main" id="{19FB6D4B-EEC2-4F5D-81F0-83F5175DA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22860</xdr:colOff>
      <xdr:row>20</xdr:row>
      <xdr:rowOff>68580</xdr:rowOff>
    </xdr:from>
    <xdr:to>
      <xdr:col>16</xdr:col>
      <xdr:colOff>548640</xdr:colOff>
      <xdr:row>21</xdr:row>
      <xdr:rowOff>160020</xdr:rowOff>
    </xdr:to>
    <xdr:sp macro="" textlink="">
      <xdr:nvSpPr>
        <xdr:cNvPr id="48" name="TextBox 47">
          <a:extLst>
            <a:ext uri="{FF2B5EF4-FFF2-40B4-BE49-F238E27FC236}">
              <a16:creationId xmlns:a16="http://schemas.microsoft.com/office/drawing/2014/main" id="{81E35E43-D89D-3FAB-39A6-680EEEEC2A85}"/>
            </a:ext>
          </a:extLst>
        </xdr:cNvPr>
        <xdr:cNvSpPr txBox="1"/>
      </xdr:nvSpPr>
      <xdr:spPr>
        <a:xfrm>
          <a:off x="7947660" y="3726180"/>
          <a:ext cx="235458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aseline="0"/>
            <a:t>No. Patient By Department Referral</a:t>
          </a:r>
          <a:endParaRPr lang="en-IN" sz="1000"/>
        </a:p>
      </xdr:txBody>
    </xdr:sp>
    <xdr:clientData/>
  </xdr:twoCellAnchor>
  <xdr:twoCellAnchor editAs="oneCell">
    <xdr:from>
      <xdr:col>7</xdr:col>
      <xdr:colOff>251460</xdr:colOff>
      <xdr:row>0</xdr:row>
      <xdr:rowOff>38100</xdr:rowOff>
    </xdr:from>
    <xdr:to>
      <xdr:col>11</xdr:col>
      <xdr:colOff>220980</xdr:colOff>
      <xdr:row>3</xdr:row>
      <xdr:rowOff>76200</xdr:rowOff>
    </xdr:to>
    <mc:AlternateContent xmlns:mc="http://schemas.openxmlformats.org/markup-compatibility/2006">
      <mc:Choice xmlns:a14="http://schemas.microsoft.com/office/drawing/2010/main" Requires="a14">
        <xdr:graphicFrame macro="">
          <xdr:nvGraphicFramePr>
            <xdr:cNvPr id="49" name="Date (Year)">
              <a:extLst>
                <a:ext uri="{FF2B5EF4-FFF2-40B4-BE49-F238E27FC236}">
                  <a16:creationId xmlns:a16="http://schemas.microsoft.com/office/drawing/2014/main" id="{556A0D0A-5218-4167-AB0C-B6BCD6DF2DC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518660" y="38100"/>
              <a:ext cx="2407920"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7620</xdr:rowOff>
    </xdr:from>
    <xdr:to>
      <xdr:col>14</xdr:col>
      <xdr:colOff>411480</xdr:colOff>
      <xdr:row>17</xdr:row>
      <xdr:rowOff>175260</xdr:rowOff>
    </xdr:to>
    <xdr:graphicFrame macro="">
      <xdr:nvGraphicFramePr>
        <xdr:cNvPr id="2" name="Chart 1">
          <a:extLst>
            <a:ext uri="{FF2B5EF4-FFF2-40B4-BE49-F238E27FC236}">
              <a16:creationId xmlns:a16="http://schemas.microsoft.com/office/drawing/2014/main" id="{8B88F815-6518-44C0-B0FB-652CDC9CF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0.00155</cdr:y>
    </cdr:from>
    <cdr:to>
      <cdr:x>0.06564</cdr:x>
      <cdr:y>0.18062</cdr:y>
    </cdr:to>
    <cdr:pic>
      <cdr:nvPicPr>
        <cdr:cNvPr id="2" name="Graphic 1"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6DD4C2F-BCE4-4AA6-81FA-C837835480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5080"/>
          <a:ext cx="586740" cy="58674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15240</xdr:colOff>
      <xdr:row>0</xdr:row>
      <xdr:rowOff>7620</xdr:rowOff>
    </xdr:from>
    <xdr:to>
      <xdr:col>12</xdr:col>
      <xdr:colOff>22860</xdr:colOff>
      <xdr:row>17</xdr:row>
      <xdr:rowOff>175260</xdr:rowOff>
    </xdr:to>
    <xdr:graphicFrame macro="">
      <xdr:nvGraphicFramePr>
        <xdr:cNvPr id="2" name="Chart 1">
          <a:extLst>
            <a:ext uri="{FF2B5EF4-FFF2-40B4-BE49-F238E27FC236}">
              <a16:creationId xmlns:a16="http://schemas.microsoft.com/office/drawing/2014/main" id="{A8922376-62F7-4460-9240-C1BC359C8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0.10822</cdr:x>
      <cdr:y>0.24186</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FE1EF96-E66D-B4E1-FACC-F09E40D419B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92480" cy="79248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7620</xdr:colOff>
      <xdr:row>0</xdr:row>
      <xdr:rowOff>0</xdr:rowOff>
    </xdr:from>
    <xdr:to>
      <xdr:col>12</xdr:col>
      <xdr:colOff>601980</xdr:colOff>
      <xdr:row>18</xdr:row>
      <xdr:rowOff>0</xdr:rowOff>
    </xdr:to>
    <xdr:graphicFrame macro="">
      <xdr:nvGraphicFramePr>
        <xdr:cNvPr id="3" name="Chart 2">
          <a:extLst>
            <a:ext uri="{FF2B5EF4-FFF2-40B4-BE49-F238E27FC236}">
              <a16:creationId xmlns:a16="http://schemas.microsoft.com/office/drawing/2014/main" id="{39EFA0EF-E5CC-49E4-A3AC-C6C933A01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0</xdr:row>
      <xdr:rowOff>0</xdr:rowOff>
    </xdr:from>
    <xdr:to>
      <xdr:col>0</xdr:col>
      <xdr:colOff>601980</xdr:colOff>
      <xdr:row>3</xdr:row>
      <xdr:rowOff>38102</xdr:rowOff>
    </xdr:to>
    <xdr:pic>
      <xdr:nvPicPr>
        <xdr:cNvPr id="4" name="Graphic 1" descr="House with solid fill">
          <a:hlinkClick xmlns:r="http://schemas.openxmlformats.org/officeDocument/2006/relationships" r:id="rId2"/>
          <a:extLst>
            <a:ext uri="{FF2B5EF4-FFF2-40B4-BE49-F238E27FC236}">
              <a16:creationId xmlns:a16="http://schemas.microsoft.com/office/drawing/2014/main" id="{4045BD25-378D-62AC-643F-3074433464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0"/>
          <a:ext cx="586740" cy="58674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3865742" createdVersion="5" refreshedVersion="8" minRefreshableVersion="3" recordCount="0" supportSubquery="1" supportAdvancedDrill="1" xr:uid="{FF000E2A-928A-412E-8D4D-D1FEEA52CE78}">
  <cacheSource type="external" connectionId="3"/>
  <cacheFields count="4">
    <cacheField name="[Calendar_Table].[Date (Month)].[Date (Month)]" caption="Date (Month)" numFmtId="0" hierarchy="1" level="1">
      <sharedItems count="1">
        <s v="Mar"/>
      </sharedItems>
    </cacheField>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3981481" createdVersion="5" refreshedVersion="8" minRefreshableVersion="3" recordCount="0" supportSubquery="1" supportAdvancedDrill="1" xr:uid="{8B0513E1-F237-4A7E-A185-05E4B305E27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4328704" createdVersion="5" refreshedVersion="8" minRefreshableVersion="3" recordCount="0" supportSubquery="1" supportAdvancedDrill="1" xr:uid="{7CD682D0-FDFE-4430-805D-28EA3B201E0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4907405" createdVersion="5" refreshedVersion="8" minRefreshableVersion="3" recordCount="0" supportSubquery="1" supportAdvancedDrill="1" xr:uid="{118CFB8D-656D-4F29-8BC4-1234DA7E33FC}">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5370374" createdVersion="5" refreshedVersion="8" minRefreshableVersion="3" recordCount="0" supportSubquery="1" supportAdvancedDrill="1" xr:uid="{CA443175-DFB3-488A-9C86-D0D9F9FF7867}">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5486112" createdVersion="5" refreshedVersion="8" minRefreshableVersion="3" recordCount="0" supportSubquery="1" supportAdvancedDrill="1" xr:uid="{08452371-2F4F-4639-9F92-7E8BBA95650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571759" createdVersion="5" refreshedVersion="8" minRefreshableVersion="3" recordCount="0" supportSubquery="1" supportAdvancedDrill="1" xr:uid="{19D2CD28-7B1D-44B2-8C42-76199B62381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6180559" createdVersion="5" refreshedVersion="8" minRefreshableVersion="3" recordCount="0" supportSubquery="1" supportAdvancedDrill="1" xr:uid="{F8491C3F-302C-4BA0-BBC2-38DD8A572D83}">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6643521" createdVersion="5" refreshedVersion="8" minRefreshableVersion="3" recordCount="0" supportSubquery="1" supportAdvancedDrill="1" xr:uid="{62B777E3-DC07-4B81-8654-B35FD31757CE}">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7106483" createdVersion="5" refreshedVersion="8" minRefreshableVersion="3" recordCount="0" supportSubquery="1" supportAdvancedDrill="1" xr:uid="{FCB86965-A96F-4D83-BA7C-0FAFE55D9F6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7569445" createdVersion="5" refreshedVersion="8" minRefreshableVersion="3" recordCount="0" supportSubquery="1" supportAdvancedDrill="1" xr:uid="{B85817EF-3A2F-47A5-AB80-2626FBB3B90E}">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4197916668" createdVersion="5" refreshedVersion="8" minRefreshableVersion="3" recordCount="0" supportSubquery="1" supportAdvancedDrill="1" xr:uid="{6E55A2DF-AA09-42FC-B352-3DF7C8270DC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tam" refreshedDate="46015.950148148149" createdVersion="3" refreshedVersion="8" minRefreshableVersion="3" recordCount="0" supportSubquery="1" supportAdvancedDrill="1" xr:uid="{9800AD80-22E4-4E62-9CEC-419C564D2AA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507645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61CFE-F9E6-4603-BD5D-8DE8B97CB3A7}" name="PivotTable12" cacheId="801"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chartFormat="35">
  <location ref="A92:A9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8">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3F0D66-A075-4EE6-8C85-91D7D7EF8E8B}" name="PivotTable11" cacheId="810"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chartFormat="35">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1">
    <format dxfId="176">
      <pivotArea outline="0" collapsedLevelsAreSubtotals="1" fieldPosition="0"/>
    </format>
  </formats>
  <chartFormats count="1">
    <chartFormat chart="3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548ED-8E22-43BA-9499-62D736EF2A08}" name="PivotTable10" cacheId="807"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chartFormat="31">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77">
      <pivotArea outline="0" collapsedLevelsAreSubtotals="1" fieldPosition="0"/>
    </format>
  </formats>
  <chartFormats count="10">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1" count="1" selected="0">
            <x v="0"/>
          </reference>
        </references>
      </pivotArea>
    </chartFormat>
    <chartFormat chart="27" format="3">
      <pivotArea type="data" outline="0" fieldPosition="0">
        <references count="2">
          <reference field="4294967294" count="1" selected="0">
            <x v="0"/>
          </reference>
          <reference field="1"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8CCEA4-48AE-45CC-8ABC-F7EF8368700F}" name="PivotTable9" cacheId="834"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chartFormat="26">
  <location ref="A65: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78">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7831AB-B8F8-4788-9087-ADFD613C165F}" name="PivotTable8" cacheId="831"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chartFormat="18">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179">
      <pivotArea collapsedLevelsAreSubtotals="1" fieldPosition="0">
        <references count="1">
          <reference field="1" count="1">
            <x v="0"/>
          </reference>
        </references>
      </pivotArea>
    </format>
    <format dxfId="180">
      <pivotArea outline="0" collapsedLevelsAreSubtotals="1" fieldPosition="0"/>
    </format>
  </format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06D7AC-26C6-4A7B-B3EA-9C9C8F1582D6}" name="PivotTable6" cacheId="825" applyNumberFormats="0" applyBorderFormats="0" applyFontFormats="0" applyPatternFormats="0" applyAlignmentFormats="0" applyWidthHeightFormats="1" dataCaption="Values" tag="535e03ec-7691-4274-8acd-9fe14d7774a2" updatedVersion="8" minRefreshableVersion="3" subtotalHiddenItems="1" itemPrintTitles="1" createdVersion="5" indent="0" outline="1" outlineData="1" multipleFieldFilters="0" chartFormat="35">
  <location ref="P5:Q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84">
      <pivotArea collapsedLevelsAreSubtotals="1" fieldPosition="0">
        <references count="1">
          <reference field="0" count="0"/>
        </references>
      </pivotArea>
    </format>
  </formats>
  <chartFormats count="3">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306A6-AEBF-4847-94B8-02DD377FE9CF}" name="PivotTable5" cacheId="822" applyNumberFormats="0" applyBorderFormats="0" applyFontFormats="0" applyPatternFormats="0" applyAlignmentFormats="0" applyWidthHeightFormats="1" dataCaption="Values" tag="535e03ec-7691-4274-8acd-9fe14d7774a2" updatedVersion="8" minRefreshableVersion="3" subtotalHiddenItems="1" itemPrintTitles="1" createdVersion="5" indent="0" outline="1" outlineData="1" multipleFieldFilters="0" chartFormat="26">
  <location ref="L5:M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85">
      <pivotArea collapsedLevelsAreSubtotals="1" fieldPosition="0">
        <references count="1">
          <reference field="0" count="0"/>
        </references>
      </pivotArea>
    </format>
  </formats>
  <chartFormats count="6">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9C37FA-3BFA-4C79-888F-FFE9ED38AEA5}" name="PivotTable2" cacheId="813" applyNumberFormats="0" applyBorderFormats="0" applyFontFormats="0" applyPatternFormats="0" applyAlignmentFormats="0" applyWidthHeightFormats="1" dataCaption="Values" tag="535e03ec-7691-4274-8acd-9fe14d7774a2" updatedVersion="8" minRefreshableVersion="3" subtotalHiddenItems="1" itemPrintTitles="1" createdVersion="5" indent="0" outline="1" outlineData="1" multipleFieldFilters="0" chartFormat="12">
  <location ref="F5:G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4E33CD-D771-4C1E-9DA3-4D7EC15C9258}" name="PivotTable4" cacheId="819"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6">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F9A529-43E7-430E-B595-51DD1F545FB5}" name="PivotTable3" cacheId="816" applyNumberFormats="0" applyBorderFormats="0" applyFontFormats="0" applyPatternFormats="0" applyAlignmentFormats="0" applyWidthHeightFormats="1" dataCaption="Values" tag="96cbb46a-6bbd-49d8-a4ca-1699a2b5994c"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7">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8FD7D4-2229-4D7E-9DF0-8F46AA52E0A3}" name="PivotTable1" cacheId="804" applyNumberFormats="0" applyBorderFormats="0" applyFontFormats="0" applyPatternFormats="0" applyAlignmentFormats="0" applyWidthHeightFormats="1" dataCaption="Values" tag="535e03ec-7691-4274-8acd-9fe14d7774a2" updatedVersion="8"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22428A-1F5E-4AB9-BDC1-E7035620CD07}" name="PivotTable7" cacheId="828" applyNumberFormats="0" applyBorderFormats="0" applyFontFormats="0" applyPatternFormats="0" applyAlignmentFormats="0" applyWidthHeightFormats="1" dataCaption="Values" tag="99cf7860-fe87-4558-a538-7e229420d0af" updatedVersion="8" minRefreshableVersion="3" subtotalHiddenItems="1" itemPrintTitles="1" createdVersion="5" indent="0" outline="1" outlineData="1" multipleFieldFilters="0" chartFormat="10">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81">
      <pivotArea outline="0" collapsedLevelsAreSubtotals="1" fieldPosition="0"/>
    </format>
    <format dxfId="182">
      <pivotArea collapsedLevelsAreSubtotals="1" fieldPosition="0">
        <references count="1">
          <reference field="2" count="0"/>
        </references>
      </pivotArea>
    </format>
    <format dxfId="18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51F5E3C-FB28-4865-8A78-D7980288C41A}"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5076459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4BA1DD5-6C4C-43EE-AA8C-2554414862B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5076459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085029E-3E95-4F1C-A8E7-1A0C7689A1FA}" cache="Slicer_Date__Month" caption="Date (Month)" showCaption="0" level="1" style="My Style" rowHeight="360000"/>
  <slicer name="Date (Year)" xr10:uid="{A71DB00C-46EC-447B-91D7-B9DC824D092B}" cache="Slicer_Date__Year" caption="Date (Year)"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8769-FF64-4408-9AE0-0A2E87515964}">
  <dimension ref="A1:Q94"/>
  <sheetViews>
    <sheetView topLeftCell="A80" zoomScale="105" zoomScaleNormal="100" workbookViewId="0">
      <selection activeCell="A92" sqref="A92"/>
    </sheetView>
  </sheetViews>
  <sheetFormatPr defaultRowHeight="14.4" x14ac:dyDescent="0.3"/>
  <cols>
    <col min="1" max="1" width="15.5546875" customWidth="1"/>
    <col min="2" max="2" width="15.88671875" customWidth="1"/>
    <col min="4" max="4" width="18.44140625" customWidth="1"/>
    <col min="5" max="5" width="9.44140625" customWidth="1"/>
    <col min="6" max="6" width="17.33203125" customWidth="1"/>
    <col min="7" max="7" width="24.88671875" bestFit="1" customWidth="1"/>
    <col min="12" max="12" width="14.33203125" bestFit="1" customWidth="1"/>
    <col min="13" max="13" width="26.44140625" bestFit="1" customWidth="1"/>
    <col min="14" max="14" width="8.88671875" customWidth="1"/>
    <col min="16" max="16" width="16" customWidth="1"/>
    <col min="17" max="17" width="26.44140625" bestFit="1" customWidth="1"/>
  </cols>
  <sheetData>
    <row r="1" spans="1:17" x14ac:dyDescent="0.3">
      <c r="A1" t="s">
        <v>0</v>
      </c>
    </row>
    <row r="2" spans="1:17" x14ac:dyDescent="0.3">
      <c r="A2" s="9">
        <v>485</v>
      </c>
    </row>
    <row r="4" spans="1:17" x14ac:dyDescent="0.3">
      <c r="F4" t="s">
        <v>5</v>
      </c>
      <c r="L4" t="s">
        <v>6</v>
      </c>
      <c r="P4" t="s">
        <v>8</v>
      </c>
    </row>
    <row r="5" spans="1:17" x14ac:dyDescent="0.3">
      <c r="F5" s="3" t="s">
        <v>3</v>
      </c>
      <c r="G5" t="s">
        <v>0</v>
      </c>
      <c r="L5" s="3" t="s">
        <v>3</v>
      </c>
      <c r="M5" t="s">
        <v>1</v>
      </c>
      <c r="P5" s="3" t="s">
        <v>3</v>
      </c>
      <c r="Q5" t="s">
        <v>2</v>
      </c>
    </row>
    <row r="6" spans="1:17" x14ac:dyDescent="0.3">
      <c r="F6" s="4" t="s">
        <v>44</v>
      </c>
      <c r="G6" s="9">
        <v>17</v>
      </c>
      <c r="L6" s="4" t="s">
        <v>44</v>
      </c>
      <c r="M6" s="1">
        <v>33.352941176470587</v>
      </c>
      <c r="P6" s="4" t="s">
        <v>44</v>
      </c>
      <c r="Q6" s="1">
        <v>4.75</v>
      </c>
    </row>
    <row r="7" spans="1:17" x14ac:dyDescent="0.3">
      <c r="A7" t="s">
        <v>1</v>
      </c>
      <c r="F7" s="4" t="s">
        <v>45</v>
      </c>
      <c r="G7" s="9">
        <v>10</v>
      </c>
      <c r="L7" s="4" t="s">
        <v>45</v>
      </c>
      <c r="M7" s="1">
        <v>38.4</v>
      </c>
      <c r="P7" s="4" t="s">
        <v>45</v>
      </c>
      <c r="Q7" s="1">
        <v>5.2</v>
      </c>
    </row>
    <row r="8" spans="1:17" x14ac:dyDescent="0.3">
      <c r="A8" s="1">
        <v>35.507216494845359</v>
      </c>
      <c r="F8" s="4" t="s">
        <v>46</v>
      </c>
      <c r="G8" s="9">
        <v>23</v>
      </c>
      <c r="L8" s="4" t="s">
        <v>46</v>
      </c>
      <c r="M8" s="1">
        <v>38.521739130434781</v>
      </c>
      <c r="P8" s="4" t="s">
        <v>46</v>
      </c>
      <c r="Q8" s="1">
        <v>3.375</v>
      </c>
    </row>
    <row r="9" spans="1:17" x14ac:dyDescent="0.3">
      <c r="F9" s="4" t="s">
        <v>47</v>
      </c>
      <c r="G9" s="9">
        <v>15</v>
      </c>
      <c r="L9" s="4" t="s">
        <v>47</v>
      </c>
      <c r="M9" s="1">
        <v>30.4</v>
      </c>
      <c r="P9" s="4" t="s">
        <v>47</v>
      </c>
      <c r="Q9" s="1">
        <v>5.8</v>
      </c>
    </row>
    <row r="10" spans="1:17" x14ac:dyDescent="0.3">
      <c r="F10" s="4" t="s">
        <v>48</v>
      </c>
      <c r="G10" s="9">
        <v>14</v>
      </c>
      <c r="L10" s="4" t="s">
        <v>48</v>
      </c>
      <c r="M10" s="1">
        <v>33.142857142857146</v>
      </c>
      <c r="P10" s="4" t="s">
        <v>48</v>
      </c>
      <c r="Q10" s="1">
        <v>4.375</v>
      </c>
    </row>
    <row r="11" spans="1:17" x14ac:dyDescent="0.3">
      <c r="F11" s="4" t="s">
        <v>49</v>
      </c>
      <c r="G11" s="9">
        <v>11</v>
      </c>
      <c r="L11" s="4" t="s">
        <v>49</v>
      </c>
      <c r="M11" s="1">
        <v>38.18181818181818</v>
      </c>
      <c r="P11" s="4" t="s">
        <v>49</v>
      </c>
      <c r="Q11" s="1">
        <v>3</v>
      </c>
    </row>
    <row r="12" spans="1:17" x14ac:dyDescent="0.3">
      <c r="A12" t="s">
        <v>2</v>
      </c>
      <c r="F12" s="4" t="s">
        <v>50</v>
      </c>
      <c r="G12" s="9">
        <v>15</v>
      </c>
      <c r="L12" s="4" t="s">
        <v>50</v>
      </c>
      <c r="M12" s="1">
        <v>39.733333333333334</v>
      </c>
      <c r="P12" s="4" t="s">
        <v>50</v>
      </c>
      <c r="Q12" s="1">
        <v>5</v>
      </c>
    </row>
    <row r="13" spans="1:17" x14ac:dyDescent="0.3">
      <c r="A13" s="1">
        <v>4.7092198581560281</v>
      </c>
      <c r="F13" s="4" t="s">
        <v>51</v>
      </c>
      <c r="G13" s="9">
        <v>20</v>
      </c>
      <c r="L13" s="4" t="s">
        <v>51</v>
      </c>
      <c r="M13" s="1">
        <v>37</v>
      </c>
      <c r="P13" s="4" t="s">
        <v>51</v>
      </c>
      <c r="Q13" s="1">
        <v>3</v>
      </c>
    </row>
    <row r="14" spans="1:17" x14ac:dyDescent="0.3">
      <c r="F14" s="4" t="s">
        <v>52</v>
      </c>
      <c r="G14" s="9">
        <v>21</v>
      </c>
      <c r="L14" s="4" t="s">
        <v>52</v>
      </c>
      <c r="M14" s="1">
        <v>35.61904761904762</v>
      </c>
      <c r="P14" s="4" t="s">
        <v>52</v>
      </c>
      <c r="Q14" s="1">
        <v>4.9090909090909092</v>
      </c>
    </row>
    <row r="15" spans="1:17" x14ac:dyDescent="0.3">
      <c r="F15" s="4" t="s">
        <v>53</v>
      </c>
      <c r="G15" s="9">
        <v>17</v>
      </c>
      <c r="L15" s="4" t="s">
        <v>53</v>
      </c>
      <c r="M15" s="1">
        <v>34.176470588235297</v>
      </c>
      <c r="P15" s="4" t="s">
        <v>53</v>
      </c>
      <c r="Q15" s="1">
        <v>3.8333333333333335</v>
      </c>
    </row>
    <row r="16" spans="1:17" x14ac:dyDescent="0.3">
      <c r="F16" s="4" t="s">
        <v>54</v>
      </c>
      <c r="G16" s="9">
        <v>17</v>
      </c>
      <c r="L16" s="4" t="s">
        <v>54</v>
      </c>
      <c r="M16" s="1">
        <v>37.176470588235297</v>
      </c>
      <c r="P16" s="4" t="s">
        <v>54</v>
      </c>
      <c r="Q16" s="1">
        <v>3.875</v>
      </c>
    </row>
    <row r="17" spans="6:17" x14ac:dyDescent="0.3">
      <c r="F17" s="4" t="s">
        <v>55</v>
      </c>
      <c r="G17" s="9">
        <v>17</v>
      </c>
      <c r="L17" s="4" t="s">
        <v>55</v>
      </c>
      <c r="M17" s="1">
        <v>36.647058823529413</v>
      </c>
      <c r="P17" s="4" t="s">
        <v>55</v>
      </c>
      <c r="Q17" s="1">
        <v>4.333333333333333</v>
      </c>
    </row>
    <row r="18" spans="6:17" x14ac:dyDescent="0.3">
      <c r="F18" s="4" t="s">
        <v>56</v>
      </c>
      <c r="G18" s="9">
        <v>17</v>
      </c>
      <c r="L18" s="4" t="s">
        <v>56</v>
      </c>
      <c r="M18" s="1">
        <v>34.941176470588232</v>
      </c>
      <c r="P18" s="4" t="s">
        <v>56</v>
      </c>
      <c r="Q18" s="1">
        <v>3.5</v>
      </c>
    </row>
    <row r="19" spans="6:17" x14ac:dyDescent="0.3">
      <c r="F19" s="4" t="s">
        <v>57</v>
      </c>
      <c r="G19" s="9">
        <v>11</v>
      </c>
      <c r="L19" s="4" t="s">
        <v>57</v>
      </c>
      <c r="M19" s="1">
        <v>44</v>
      </c>
      <c r="P19" s="4" t="s">
        <v>57</v>
      </c>
      <c r="Q19" s="1">
        <v>5.4</v>
      </c>
    </row>
    <row r="20" spans="6:17" x14ac:dyDescent="0.3">
      <c r="F20" s="4" t="s">
        <v>58</v>
      </c>
      <c r="G20" s="9">
        <v>23</v>
      </c>
      <c r="L20" s="4" t="s">
        <v>58</v>
      </c>
      <c r="M20" s="1">
        <v>38.913043478260867</v>
      </c>
      <c r="P20" s="4" t="s">
        <v>58</v>
      </c>
      <c r="Q20" s="1">
        <v>5.375</v>
      </c>
    </row>
    <row r="21" spans="6:17" x14ac:dyDescent="0.3">
      <c r="F21" s="4" t="s">
        <v>59</v>
      </c>
      <c r="G21" s="9">
        <v>14</v>
      </c>
      <c r="L21" s="4" t="s">
        <v>59</v>
      </c>
      <c r="M21" s="1">
        <v>31</v>
      </c>
      <c r="P21" s="4" t="s">
        <v>59</v>
      </c>
      <c r="Q21" s="1">
        <v>3.3333333333333335</v>
      </c>
    </row>
    <row r="22" spans="6:17" x14ac:dyDescent="0.3">
      <c r="F22" s="4" t="s">
        <v>60</v>
      </c>
      <c r="G22" s="9">
        <v>22</v>
      </c>
      <c r="L22" s="4" t="s">
        <v>60</v>
      </c>
      <c r="M22" s="1">
        <v>34.227272727272727</v>
      </c>
      <c r="P22" s="4" t="s">
        <v>60</v>
      </c>
      <c r="Q22" s="1">
        <v>6.2</v>
      </c>
    </row>
    <row r="23" spans="6:17" x14ac:dyDescent="0.3">
      <c r="F23" s="4" t="s">
        <v>61</v>
      </c>
      <c r="G23" s="9">
        <v>16</v>
      </c>
      <c r="L23" s="4" t="s">
        <v>61</v>
      </c>
      <c r="M23" s="1">
        <v>31</v>
      </c>
      <c r="P23" s="4" t="s">
        <v>61</v>
      </c>
      <c r="Q23" s="1">
        <v>1.6666666666666667</v>
      </c>
    </row>
    <row r="24" spans="6:17" x14ac:dyDescent="0.3">
      <c r="F24" s="4" t="s">
        <v>62</v>
      </c>
      <c r="G24" s="9">
        <v>13</v>
      </c>
      <c r="L24" s="4" t="s">
        <v>62</v>
      </c>
      <c r="M24" s="1">
        <v>32.153846153846153</v>
      </c>
      <c r="P24" s="4" t="s">
        <v>62</v>
      </c>
      <c r="Q24" s="1">
        <v>4.5</v>
      </c>
    </row>
    <row r="25" spans="6:17" x14ac:dyDescent="0.3">
      <c r="F25" s="4" t="s">
        <v>63</v>
      </c>
      <c r="G25" s="9">
        <v>14</v>
      </c>
      <c r="L25" s="4" t="s">
        <v>63</v>
      </c>
      <c r="M25" s="1">
        <v>32.785714285714285</v>
      </c>
      <c r="P25" s="4" t="s">
        <v>63</v>
      </c>
      <c r="Q25" s="1">
        <v>7.666666666666667</v>
      </c>
    </row>
    <row r="26" spans="6:17" x14ac:dyDescent="0.3">
      <c r="F26" s="4" t="s">
        <v>64</v>
      </c>
      <c r="G26" s="9">
        <v>12</v>
      </c>
      <c r="L26" s="4" t="s">
        <v>64</v>
      </c>
      <c r="M26" s="1">
        <v>30</v>
      </c>
      <c r="P26" s="4" t="s">
        <v>64</v>
      </c>
      <c r="Q26" s="1">
        <v>4.4000000000000004</v>
      </c>
    </row>
    <row r="27" spans="6:17" x14ac:dyDescent="0.3">
      <c r="F27" s="4" t="s">
        <v>65</v>
      </c>
      <c r="G27" s="9">
        <v>12</v>
      </c>
      <c r="L27" s="4" t="s">
        <v>65</v>
      </c>
      <c r="M27" s="1">
        <v>33.5</v>
      </c>
      <c r="P27" s="4" t="s">
        <v>65</v>
      </c>
      <c r="Q27" s="1">
        <v>6.5</v>
      </c>
    </row>
    <row r="28" spans="6:17" x14ac:dyDescent="0.3">
      <c r="F28" s="4" t="s">
        <v>66</v>
      </c>
      <c r="G28" s="9">
        <v>20</v>
      </c>
      <c r="L28" s="4" t="s">
        <v>66</v>
      </c>
      <c r="M28" s="1">
        <v>32.950000000000003</v>
      </c>
      <c r="P28" s="4" t="s">
        <v>66</v>
      </c>
      <c r="Q28" s="1">
        <v>5</v>
      </c>
    </row>
    <row r="29" spans="6:17" x14ac:dyDescent="0.3">
      <c r="F29" s="4" t="s">
        <v>67</v>
      </c>
      <c r="G29" s="9">
        <v>19</v>
      </c>
      <c r="L29" s="4" t="s">
        <v>67</v>
      </c>
      <c r="M29" s="1">
        <v>35.842105263157897</v>
      </c>
      <c r="P29" s="4" t="s">
        <v>67</v>
      </c>
      <c r="Q29" s="1">
        <v>5.25</v>
      </c>
    </row>
    <row r="30" spans="6:17" x14ac:dyDescent="0.3">
      <c r="F30" s="4" t="s">
        <v>68</v>
      </c>
      <c r="G30" s="9">
        <v>13</v>
      </c>
      <c r="L30" s="4" t="s">
        <v>68</v>
      </c>
      <c r="M30" s="1">
        <v>33.846153846153847</v>
      </c>
      <c r="P30" s="4" t="s">
        <v>68</v>
      </c>
      <c r="Q30" s="1">
        <v>4.75</v>
      </c>
    </row>
    <row r="31" spans="6:17" x14ac:dyDescent="0.3">
      <c r="F31" s="4" t="s">
        <v>69</v>
      </c>
      <c r="G31" s="9">
        <v>15</v>
      </c>
      <c r="L31" s="4" t="s">
        <v>69</v>
      </c>
      <c r="M31" s="1">
        <v>39.06666666666667</v>
      </c>
      <c r="P31" s="4" t="s">
        <v>69</v>
      </c>
      <c r="Q31" s="1">
        <v>5</v>
      </c>
    </row>
    <row r="32" spans="6:17" x14ac:dyDescent="0.3">
      <c r="F32" s="4" t="s">
        <v>70</v>
      </c>
      <c r="G32" s="9">
        <v>19</v>
      </c>
      <c r="L32" s="4" t="s">
        <v>70</v>
      </c>
      <c r="M32" s="1">
        <v>36.684210526315788</v>
      </c>
      <c r="P32" s="4" t="s">
        <v>70</v>
      </c>
      <c r="Q32" s="1">
        <v>4</v>
      </c>
    </row>
    <row r="33" spans="1:17" x14ac:dyDescent="0.3">
      <c r="F33" s="4" t="s">
        <v>71</v>
      </c>
      <c r="G33" s="9">
        <v>17</v>
      </c>
      <c r="L33" s="4" t="s">
        <v>71</v>
      </c>
      <c r="M33" s="1">
        <v>33.764705882352942</v>
      </c>
      <c r="P33" s="4" t="s">
        <v>71</v>
      </c>
      <c r="Q33" s="1">
        <v>5.333333333333333</v>
      </c>
    </row>
    <row r="34" spans="1:17" x14ac:dyDescent="0.3">
      <c r="F34" s="4" t="s">
        <v>72</v>
      </c>
      <c r="G34" s="9">
        <v>15</v>
      </c>
      <c r="L34" s="4" t="s">
        <v>72</v>
      </c>
      <c r="M34" s="1">
        <v>34.533333333333331</v>
      </c>
      <c r="P34" s="4" t="s">
        <v>72</v>
      </c>
      <c r="Q34" s="1">
        <v>6</v>
      </c>
    </row>
    <row r="35" spans="1:17" x14ac:dyDescent="0.3">
      <c r="F35" s="4" t="s">
        <v>73</v>
      </c>
      <c r="G35" s="9">
        <v>16</v>
      </c>
      <c r="L35" s="4" t="s">
        <v>73</v>
      </c>
      <c r="M35" s="1">
        <v>42.125</v>
      </c>
      <c r="P35" s="4" t="s">
        <v>73</v>
      </c>
      <c r="Q35" s="1">
        <v>6.333333333333333</v>
      </c>
    </row>
    <row r="36" spans="1:17" x14ac:dyDescent="0.3">
      <c r="F36" s="4" t="s">
        <v>4</v>
      </c>
      <c r="G36" s="9">
        <v>485</v>
      </c>
      <c r="L36" s="4" t="s">
        <v>4</v>
      </c>
      <c r="M36" s="9">
        <v>35.507216494845359</v>
      </c>
      <c r="P36" s="4" t="s">
        <v>4</v>
      </c>
      <c r="Q36" s="9">
        <v>4.7092198581560281</v>
      </c>
    </row>
    <row r="40" spans="1:17" x14ac:dyDescent="0.3">
      <c r="A40" s="3" t="s">
        <v>3</v>
      </c>
      <c r="B40" t="s">
        <v>9</v>
      </c>
      <c r="C40" t="s">
        <v>12</v>
      </c>
    </row>
    <row r="41" spans="1:17" x14ac:dyDescent="0.3">
      <c r="A41" s="4" t="s">
        <v>10</v>
      </c>
      <c r="B41" s="7">
        <v>235</v>
      </c>
      <c r="C41" s="8">
        <v>0.4845360824742268</v>
      </c>
    </row>
    <row r="42" spans="1:17" x14ac:dyDescent="0.3">
      <c r="A42" s="4" t="s">
        <v>11</v>
      </c>
      <c r="B42" s="7">
        <v>250</v>
      </c>
      <c r="C42" s="8">
        <v>0.51546391752577314</v>
      </c>
    </row>
    <row r="43" spans="1:17" x14ac:dyDescent="0.3">
      <c r="A43" s="4" t="s">
        <v>4</v>
      </c>
      <c r="B43" s="1">
        <v>485</v>
      </c>
      <c r="C43" s="8">
        <v>1</v>
      </c>
    </row>
    <row r="47" spans="1:17" ht="12.6" customHeight="1" x14ac:dyDescent="0.3">
      <c r="A47" s="14" t="s">
        <v>13</v>
      </c>
      <c r="B47" s="14" t="s">
        <v>15</v>
      </c>
      <c r="C47" s="14" t="s">
        <v>14</v>
      </c>
      <c r="D47" s="15"/>
      <c r="E47" s="15"/>
      <c r="F47" s="16"/>
    </row>
    <row r="48" spans="1:17" ht="12" customHeight="1" x14ac:dyDescent="0.3">
      <c r="A48" s="11" t="str">
        <f>A42</f>
        <v>NOt Admitted</v>
      </c>
      <c r="B48" s="11">
        <f>B42</f>
        <v>250</v>
      </c>
      <c r="C48" s="12">
        <f>C42</f>
        <v>0.51546391752577314</v>
      </c>
      <c r="D48" s="13"/>
      <c r="E48" s="13"/>
      <c r="F48" s="10"/>
    </row>
    <row r="49" spans="1:6" ht="11.4" customHeight="1" x14ac:dyDescent="0.3">
      <c r="A49" s="11" t="str">
        <f>A41</f>
        <v>Admitted</v>
      </c>
      <c r="B49" s="11">
        <f>B41</f>
        <v>235</v>
      </c>
      <c r="C49" s="12">
        <f>C41</f>
        <v>0.4845360824742268</v>
      </c>
      <c r="D49" s="13"/>
      <c r="E49" s="13"/>
      <c r="F49" s="10"/>
    </row>
    <row r="52" spans="1:6" x14ac:dyDescent="0.3">
      <c r="A52" t="s">
        <v>25</v>
      </c>
    </row>
    <row r="53" spans="1:6" x14ac:dyDescent="0.3">
      <c r="A53" s="3" t="s">
        <v>3</v>
      </c>
      <c r="B53" t="s">
        <v>24</v>
      </c>
    </row>
    <row r="54" spans="1:6" x14ac:dyDescent="0.3">
      <c r="A54" s="4" t="s">
        <v>16</v>
      </c>
      <c r="B54" s="7">
        <v>59</v>
      </c>
    </row>
    <row r="55" spans="1:6" x14ac:dyDescent="0.3">
      <c r="A55" s="4" t="s">
        <v>17</v>
      </c>
      <c r="B55" s="7">
        <v>55</v>
      </c>
    </row>
    <row r="56" spans="1:6" x14ac:dyDescent="0.3">
      <c r="A56" s="4" t="s">
        <v>18</v>
      </c>
      <c r="B56" s="7">
        <v>69</v>
      </c>
    </row>
    <row r="57" spans="1:6" x14ac:dyDescent="0.3">
      <c r="A57" s="4" t="s">
        <v>19</v>
      </c>
      <c r="B57" s="7">
        <v>64</v>
      </c>
    </row>
    <row r="58" spans="1:6" x14ac:dyDescent="0.3">
      <c r="A58" s="4" t="s">
        <v>20</v>
      </c>
      <c r="B58" s="7">
        <v>56</v>
      </c>
    </row>
    <row r="59" spans="1:6" x14ac:dyDescent="0.3">
      <c r="A59" s="4" t="s">
        <v>21</v>
      </c>
      <c r="B59" s="7">
        <v>60</v>
      </c>
    </row>
    <row r="60" spans="1:6" x14ac:dyDescent="0.3">
      <c r="A60" s="4" t="s">
        <v>22</v>
      </c>
      <c r="B60" s="7">
        <v>51</v>
      </c>
    </row>
    <row r="61" spans="1:6" x14ac:dyDescent="0.3">
      <c r="A61" s="4" t="s">
        <v>23</v>
      </c>
      <c r="B61" s="7">
        <v>71</v>
      </c>
    </row>
    <row r="62" spans="1:6" x14ac:dyDescent="0.3">
      <c r="A62" s="4" t="s">
        <v>4</v>
      </c>
      <c r="B62" s="7">
        <v>485</v>
      </c>
    </row>
    <row r="64" spans="1:6" x14ac:dyDescent="0.3">
      <c r="A64" s="4" t="s">
        <v>29</v>
      </c>
    </row>
    <row r="65" spans="1:2" x14ac:dyDescent="0.3">
      <c r="A65" s="3" t="s">
        <v>3</v>
      </c>
      <c r="B65" t="s">
        <v>28</v>
      </c>
    </row>
    <row r="66" spans="1:2" x14ac:dyDescent="0.3">
      <c r="A66" s="4" t="s">
        <v>26</v>
      </c>
      <c r="B66" s="7">
        <v>297</v>
      </c>
    </row>
    <row r="67" spans="1:2" x14ac:dyDescent="0.3">
      <c r="A67" s="4" t="s">
        <v>27</v>
      </c>
      <c r="B67" s="7">
        <v>188</v>
      </c>
    </row>
    <row r="68" spans="1:2" x14ac:dyDescent="0.3">
      <c r="A68" s="4" t="s">
        <v>4</v>
      </c>
      <c r="B68" s="7">
        <v>485</v>
      </c>
    </row>
    <row r="71" spans="1:2" x14ac:dyDescent="0.3">
      <c r="A71" s="4" t="s">
        <v>33</v>
      </c>
    </row>
    <row r="72" spans="1:2" x14ac:dyDescent="0.3">
      <c r="A72" s="3" t="s">
        <v>3</v>
      </c>
      <c r="B72" t="s">
        <v>32</v>
      </c>
    </row>
    <row r="73" spans="1:2" x14ac:dyDescent="0.3">
      <c r="A73" s="4" t="s">
        <v>30</v>
      </c>
      <c r="B73" s="7">
        <v>239</v>
      </c>
    </row>
    <row r="74" spans="1:2" x14ac:dyDescent="0.3">
      <c r="A74" s="4" t="s">
        <v>31</v>
      </c>
      <c r="B74" s="7">
        <v>246</v>
      </c>
    </row>
    <row r="75" spans="1:2" x14ac:dyDescent="0.3">
      <c r="A75" s="4" t="s">
        <v>4</v>
      </c>
      <c r="B75" s="7">
        <v>485</v>
      </c>
    </row>
    <row r="78" spans="1:2" x14ac:dyDescent="0.3">
      <c r="A78" s="3" t="s">
        <v>3</v>
      </c>
      <c r="B78" t="s">
        <v>42</v>
      </c>
    </row>
    <row r="79" spans="1:2" x14ac:dyDescent="0.3">
      <c r="A79" s="4" t="s">
        <v>41</v>
      </c>
      <c r="B79" s="7">
        <v>2</v>
      </c>
    </row>
    <row r="80" spans="1:2" x14ac:dyDescent="0.3">
      <c r="A80" s="4" t="s">
        <v>40</v>
      </c>
      <c r="B80" s="7">
        <v>11</v>
      </c>
    </row>
    <row r="81" spans="1:2" x14ac:dyDescent="0.3">
      <c r="A81" s="4" t="s">
        <v>37</v>
      </c>
      <c r="B81" s="7">
        <v>12</v>
      </c>
    </row>
    <row r="82" spans="1:2" x14ac:dyDescent="0.3">
      <c r="A82" s="4" t="s">
        <v>35</v>
      </c>
      <c r="B82" s="7">
        <v>12</v>
      </c>
    </row>
    <row r="83" spans="1:2" x14ac:dyDescent="0.3">
      <c r="A83" s="4" t="s">
        <v>34</v>
      </c>
      <c r="B83" s="7">
        <v>13</v>
      </c>
    </row>
    <row r="84" spans="1:2" x14ac:dyDescent="0.3">
      <c r="A84" s="4" t="s">
        <v>39</v>
      </c>
      <c r="B84" s="7">
        <v>53</v>
      </c>
    </row>
    <row r="85" spans="1:2" x14ac:dyDescent="0.3">
      <c r="A85" s="4" t="s">
        <v>36</v>
      </c>
      <c r="B85" s="7">
        <v>91</v>
      </c>
    </row>
    <row r="86" spans="1:2" x14ac:dyDescent="0.3">
      <c r="A86" s="4" t="s">
        <v>38</v>
      </c>
      <c r="B86" s="7">
        <v>291</v>
      </c>
    </row>
    <row r="87" spans="1:2" x14ac:dyDescent="0.3">
      <c r="A87" s="4" t="s">
        <v>4</v>
      </c>
      <c r="B87" s="7">
        <v>485</v>
      </c>
    </row>
    <row r="92" spans="1:2" x14ac:dyDescent="0.3">
      <c r="A92" s="3" t="s">
        <v>3</v>
      </c>
    </row>
    <row r="93" spans="1:2" x14ac:dyDescent="0.3">
      <c r="A93" s="4" t="s">
        <v>43</v>
      </c>
    </row>
    <row r="94" spans="1:2" x14ac:dyDescent="0.3">
      <c r="A94" s="4"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17A4-7315-4B3F-A1AA-9C93269DD9ED}">
  <dimension ref="A1:X44"/>
  <sheetViews>
    <sheetView tabSelected="1" zoomScale="120" zoomScaleNormal="120" workbookViewId="0">
      <selection activeCell="T9" sqref="T9"/>
    </sheetView>
  </sheetViews>
  <sheetFormatPr defaultRowHeight="14.4" x14ac:dyDescent="0.3"/>
  <sheetData>
    <row r="1" spans="1:24" x14ac:dyDescent="0.3">
      <c r="A1" s="6" t="s">
        <v>7</v>
      </c>
      <c r="B1" s="2"/>
      <c r="C1" s="2"/>
      <c r="D1" s="2"/>
      <c r="E1" s="2"/>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2"/>
      <c r="B3" s="2"/>
      <c r="C3" s="2"/>
      <c r="D3" s="2"/>
      <c r="E3" s="2"/>
      <c r="F3" s="2"/>
      <c r="G3" s="2"/>
      <c r="H3" s="2"/>
      <c r="I3" s="2"/>
      <c r="J3" s="2"/>
      <c r="K3" s="2"/>
      <c r="L3" s="2"/>
      <c r="M3" s="2"/>
      <c r="N3" s="2"/>
      <c r="O3" s="2"/>
      <c r="P3" s="2"/>
      <c r="Q3" s="2"/>
      <c r="R3" s="2"/>
      <c r="S3" s="2"/>
      <c r="T3" s="2"/>
      <c r="U3" s="2"/>
      <c r="V3" s="2"/>
      <c r="W3" s="2"/>
      <c r="X3" s="2"/>
    </row>
    <row r="4" spans="1:24" x14ac:dyDescent="0.3">
      <c r="A4" s="2"/>
      <c r="B4" s="2"/>
      <c r="C4" s="2"/>
      <c r="D4" s="2"/>
      <c r="E4" s="2"/>
      <c r="F4" s="2"/>
      <c r="G4" s="2"/>
      <c r="H4" s="2"/>
      <c r="I4" s="2"/>
      <c r="J4" s="2"/>
      <c r="K4" s="2"/>
      <c r="L4" s="2"/>
      <c r="M4" s="2"/>
      <c r="N4" s="2"/>
      <c r="O4" s="2"/>
      <c r="P4" s="2"/>
      <c r="Q4" s="2"/>
      <c r="R4" s="2"/>
      <c r="S4" s="2"/>
      <c r="T4" s="2"/>
      <c r="U4" s="2"/>
      <c r="V4" s="2"/>
      <c r="W4" s="2"/>
      <c r="X4" s="2"/>
    </row>
    <row r="5" spans="1:24" x14ac:dyDescent="0.3">
      <c r="A5" s="2"/>
      <c r="B5" s="2"/>
      <c r="C5" s="2"/>
      <c r="D5" s="2"/>
      <c r="E5" s="2"/>
      <c r="F5" s="2"/>
      <c r="G5" s="2"/>
      <c r="H5" s="2"/>
      <c r="I5" s="2"/>
      <c r="J5" s="2"/>
      <c r="K5" s="2"/>
      <c r="L5" s="2"/>
      <c r="M5" s="2"/>
      <c r="N5" s="2"/>
      <c r="O5" s="2"/>
      <c r="P5" s="2"/>
      <c r="Q5" s="2"/>
      <c r="R5" s="2"/>
      <c r="S5" s="2"/>
      <c r="T5" s="2"/>
      <c r="U5" s="2"/>
      <c r="V5" s="2"/>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F10" s="2"/>
      <c r="G10" s="2"/>
      <c r="H10" s="2"/>
      <c r="I10" s="2"/>
      <c r="J10" s="2"/>
      <c r="K10" s="2"/>
      <c r="L10" s="2"/>
      <c r="M10" s="2"/>
      <c r="N10" s="2"/>
      <c r="O10" s="2"/>
      <c r="P10" s="2"/>
      <c r="Q10" s="2"/>
      <c r="R10" s="2"/>
      <c r="S10" s="2"/>
      <c r="T10" s="2"/>
      <c r="U10" s="2"/>
      <c r="V10" s="2"/>
      <c r="W10" s="2"/>
      <c r="X10" s="2"/>
    </row>
    <row r="11" spans="1:24" x14ac:dyDescent="0.3">
      <c r="A11" s="2"/>
      <c r="B11" s="2"/>
      <c r="C11" s="2"/>
      <c r="D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4" x14ac:dyDescent="0.3">
      <c r="A17" s="2"/>
      <c r="B17" s="2"/>
      <c r="C17" s="2"/>
      <c r="D17" s="2"/>
      <c r="E17" s="2"/>
      <c r="F17" s="2"/>
      <c r="G17" s="2"/>
      <c r="H17" s="2"/>
      <c r="I17" s="2"/>
      <c r="J17" s="2"/>
      <c r="K17" s="2"/>
      <c r="L17" s="2"/>
      <c r="M17" s="2"/>
      <c r="N17" s="2"/>
      <c r="O17" s="2"/>
      <c r="P17" s="2"/>
      <c r="Q17" s="2"/>
      <c r="R17" s="2"/>
      <c r="S17" s="2"/>
      <c r="T17" s="2"/>
      <c r="U17" s="2"/>
      <c r="V17" s="2"/>
      <c r="W17" s="2"/>
      <c r="X17" s="2"/>
    </row>
    <row r="18" spans="1:24" x14ac:dyDescent="0.3">
      <c r="A18" s="2"/>
      <c r="B18" s="2"/>
      <c r="C18" s="2"/>
      <c r="D18" s="2"/>
      <c r="E18" s="2"/>
      <c r="F18" s="2"/>
      <c r="G18" s="2"/>
      <c r="H18" s="2"/>
      <c r="I18" s="2"/>
      <c r="J18" s="2"/>
      <c r="K18" s="2"/>
      <c r="L18" s="2"/>
      <c r="M18" s="2"/>
      <c r="N18" s="2"/>
      <c r="O18" s="2"/>
      <c r="P18" s="2"/>
      <c r="Q18" s="2"/>
      <c r="R18" s="2"/>
      <c r="S18" s="2"/>
      <c r="T18" s="2"/>
      <c r="U18" s="2"/>
      <c r="V18" s="2"/>
      <c r="W18" s="2"/>
      <c r="X18" s="2"/>
    </row>
    <row r="19" spans="1:24" x14ac:dyDescent="0.3">
      <c r="A19" s="2"/>
      <c r="B19" s="2"/>
      <c r="C19" s="2"/>
      <c r="D19" s="2"/>
      <c r="E19" s="2"/>
      <c r="F19" s="2"/>
      <c r="G19" s="2"/>
      <c r="H19" s="2"/>
      <c r="I19" s="2"/>
      <c r="J19" s="2"/>
      <c r="K19" s="2"/>
      <c r="L19" s="2"/>
      <c r="M19" s="2"/>
      <c r="N19" s="2"/>
      <c r="O19" s="2"/>
      <c r="P19" s="2"/>
      <c r="Q19" s="2"/>
      <c r="R19" s="2"/>
      <c r="S19" s="2"/>
      <c r="T19" s="2"/>
      <c r="U19" s="2"/>
      <c r="V19" s="2"/>
      <c r="W19" s="2"/>
      <c r="X19" s="2"/>
    </row>
    <row r="20" spans="1:24" x14ac:dyDescent="0.3">
      <c r="A20" s="2"/>
      <c r="B20" s="2"/>
      <c r="C20" s="2"/>
      <c r="D20" s="2"/>
      <c r="E20" s="2"/>
      <c r="F20" s="2"/>
      <c r="G20" s="2"/>
      <c r="H20" s="2"/>
      <c r="I20" s="2"/>
      <c r="J20" s="2"/>
      <c r="K20" s="2"/>
      <c r="L20" s="2"/>
      <c r="M20" s="2"/>
      <c r="N20" s="2"/>
      <c r="O20" s="2"/>
      <c r="P20" s="2"/>
      <c r="Q20" s="2"/>
      <c r="R20" s="2"/>
      <c r="S20" s="2"/>
      <c r="T20" s="2"/>
      <c r="U20" s="2"/>
      <c r="V20" s="2"/>
      <c r="W20" s="2"/>
      <c r="X20" s="2"/>
    </row>
    <row r="21" spans="1:24" x14ac:dyDescent="0.3">
      <c r="A21" s="2"/>
      <c r="B21" s="2"/>
      <c r="C21" s="2"/>
      <c r="D21" s="2"/>
      <c r="E21" s="2"/>
      <c r="F21" s="2"/>
      <c r="G21" s="2"/>
      <c r="H21" s="2"/>
      <c r="I21" s="2"/>
      <c r="J21" s="2"/>
      <c r="K21" s="2"/>
      <c r="L21" s="2"/>
      <c r="M21" s="2"/>
      <c r="N21" s="2"/>
      <c r="O21" s="2"/>
      <c r="P21" s="2"/>
      <c r="Q21" s="2"/>
      <c r="R21" s="2"/>
      <c r="S21" s="2"/>
      <c r="T21" s="2"/>
      <c r="U21" s="2"/>
      <c r="V21" s="2"/>
      <c r="W21" s="2"/>
      <c r="X21" s="2"/>
    </row>
    <row r="22" spans="1:24" x14ac:dyDescent="0.3">
      <c r="A22" s="2"/>
      <c r="B22" s="2"/>
      <c r="C22" s="2"/>
      <c r="D22" s="2"/>
      <c r="E22" s="2"/>
      <c r="F22" s="2"/>
      <c r="G22" s="2"/>
      <c r="H22" s="2"/>
      <c r="I22" s="2"/>
      <c r="J22" s="2"/>
      <c r="K22" s="2"/>
      <c r="L22" s="2"/>
      <c r="M22" s="2"/>
      <c r="N22" s="2"/>
      <c r="O22" s="2"/>
      <c r="P22" s="2"/>
      <c r="Q22" s="2"/>
      <c r="R22" s="2"/>
      <c r="S22" s="2"/>
      <c r="T22" s="2"/>
      <c r="U22" s="2"/>
      <c r="V22" s="2"/>
      <c r="W22" s="2"/>
      <c r="X22" s="2"/>
    </row>
    <row r="23" spans="1:24" x14ac:dyDescent="0.3">
      <c r="A23" s="2"/>
      <c r="B23" s="2"/>
      <c r="C23" s="2"/>
      <c r="D23" s="2"/>
      <c r="E23" s="2"/>
      <c r="F23" s="2"/>
      <c r="G23" s="2"/>
      <c r="H23" s="2"/>
      <c r="I23" s="2"/>
      <c r="J23" s="2"/>
      <c r="K23" s="2"/>
      <c r="L23" s="2"/>
      <c r="M23" s="2"/>
      <c r="N23" s="2"/>
      <c r="O23" s="2"/>
      <c r="P23" s="2"/>
      <c r="Q23" s="2"/>
      <c r="R23" s="2"/>
      <c r="S23" s="2"/>
      <c r="T23" s="2"/>
      <c r="U23" s="2"/>
      <c r="V23" s="2"/>
      <c r="W23" s="2"/>
      <c r="X23" s="2"/>
    </row>
    <row r="24" spans="1:24" x14ac:dyDescent="0.3">
      <c r="A24" s="2"/>
      <c r="B24" s="2"/>
      <c r="C24" s="2"/>
      <c r="D24" s="2"/>
      <c r="E24" s="2"/>
      <c r="F24" s="2"/>
      <c r="G24" s="2"/>
      <c r="H24" s="2"/>
      <c r="I24" s="2"/>
      <c r="J24" s="2"/>
      <c r="K24" s="2"/>
      <c r="L24" s="2"/>
      <c r="M24" s="2"/>
      <c r="N24" s="2"/>
      <c r="O24" s="2"/>
      <c r="P24" s="2"/>
      <c r="Q24" s="2"/>
      <c r="R24" s="2"/>
      <c r="S24" s="2"/>
      <c r="T24" s="2"/>
      <c r="U24" s="2"/>
      <c r="V24" s="2"/>
      <c r="W24" s="2"/>
      <c r="X24" s="2"/>
    </row>
    <row r="25" spans="1:24" x14ac:dyDescent="0.3">
      <c r="A25" s="2"/>
      <c r="B25" s="2"/>
      <c r="C25" s="2"/>
      <c r="D25" s="2"/>
      <c r="E25" s="2"/>
      <c r="F25" s="2"/>
      <c r="G25" s="2"/>
      <c r="H25" s="2"/>
      <c r="I25" s="2"/>
      <c r="J25" s="2"/>
      <c r="K25" s="2"/>
      <c r="L25" s="2"/>
      <c r="M25" s="2"/>
      <c r="N25" s="2"/>
      <c r="O25" s="2"/>
      <c r="P25" s="2"/>
      <c r="Q25" s="2"/>
      <c r="R25" s="2"/>
      <c r="S25" s="2"/>
      <c r="T25" s="2"/>
      <c r="U25" s="2"/>
      <c r="V25" s="2"/>
      <c r="W25" s="2"/>
      <c r="X25" s="2"/>
    </row>
    <row r="26" spans="1:24" x14ac:dyDescent="0.3">
      <c r="A26" s="2"/>
      <c r="B26" s="2"/>
      <c r="C26" s="2"/>
      <c r="D26" s="2"/>
      <c r="E26" s="2"/>
      <c r="F26" s="2"/>
      <c r="G26" s="2"/>
      <c r="H26" s="2"/>
      <c r="I26" s="2"/>
      <c r="J26" s="2"/>
      <c r="K26" s="2"/>
      <c r="L26" s="2"/>
      <c r="M26" s="2"/>
      <c r="N26" s="2"/>
      <c r="O26" s="2"/>
      <c r="P26" s="2"/>
      <c r="Q26" s="2"/>
      <c r="R26" s="2"/>
      <c r="S26" s="2"/>
      <c r="T26" s="2"/>
      <c r="U26" s="2"/>
      <c r="V26" s="2"/>
      <c r="W26" s="2"/>
      <c r="X26" s="2"/>
    </row>
    <row r="27" spans="1:24" x14ac:dyDescent="0.3">
      <c r="A27" s="2"/>
      <c r="B27" s="2"/>
      <c r="C27" s="2"/>
      <c r="D27" s="2"/>
      <c r="E27" s="2"/>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c r="G28" s="2"/>
      <c r="H28" s="2"/>
      <c r="I28" s="2"/>
      <c r="J28" s="2"/>
      <c r="K28" s="2"/>
      <c r="L28" s="2"/>
      <c r="M28" s="2"/>
      <c r="N28" s="2"/>
      <c r="O28" s="2"/>
      <c r="P28" s="2"/>
      <c r="Q28" s="2"/>
      <c r="R28" s="2"/>
      <c r="S28" s="2"/>
      <c r="T28" s="2"/>
      <c r="U28" s="2"/>
      <c r="V28" s="2"/>
      <c r="W28" s="2"/>
      <c r="X28" s="2"/>
    </row>
    <row r="29" spans="1:24" x14ac:dyDescent="0.3">
      <c r="A29" s="2"/>
      <c r="B29" s="2"/>
      <c r="C29" s="2"/>
      <c r="D29" s="2"/>
      <c r="E29" s="2"/>
      <c r="F29" s="2"/>
      <c r="G29" s="2"/>
      <c r="H29" s="2"/>
      <c r="I29" s="2"/>
      <c r="J29" s="2"/>
      <c r="K29" s="2"/>
      <c r="L29" s="2"/>
      <c r="M29" s="2"/>
      <c r="N29" s="2"/>
      <c r="O29" s="2"/>
      <c r="P29" s="2"/>
      <c r="Q29" s="2"/>
      <c r="R29" s="2"/>
      <c r="S29" s="2"/>
      <c r="T29" s="2"/>
      <c r="U29" s="2"/>
      <c r="V29" s="2"/>
      <c r="W29" s="2"/>
      <c r="X29" s="2"/>
    </row>
    <row r="30" spans="1:24" x14ac:dyDescent="0.3">
      <c r="A30" s="2"/>
      <c r="B30" s="2"/>
      <c r="C30" s="2"/>
      <c r="D30" s="2"/>
      <c r="E30" s="2"/>
      <c r="F30" s="2"/>
      <c r="G30" s="2"/>
      <c r="H30" s="2"/>
      <c r="I30" s="2"/>
      <c r="J30" s="2"/>
      <c r="K30" s="2"/>
      <c r="L30" s="2"/>
      <c r="M30" s="2"/>
      <c r="N30" s="2"/>
      <c r="O30" s="2"/>
      <c r="P30" s="2"/>
      <c r="Q30" s="2"/>
      <c r="R30" s="2"/>
      <c r="S30" s="2"/>
      <c r="T30" s="2"/>
      <c r="U30" s="2"/>
      <c r="V30" s="2"/>
      <c r="W30" s="2"/>
      <c r="X30" s="2"/>
    </row>
    <row r="31" spans="1:24" x14ac:dyDescent="0.3">
      <c r="A31" s="2"/>
      <c r="B31" s="2"/>
      <c r="C31" s="2"/>
      <c r="D31" s="2"/>
      <c r="E31" s="2"/>
      <c r="F31" s="2"/>
      <c r="G31" s="2"/>
      <c r="H31" s="2"/>
      <c r="I31" s="2"/>
      <c r="J31" s="2"/>
      <c r="K31" s="2"/>
      <c r="L31" s="2"/>
      <c r="M31" s="2"/>
      <c r="N31" s="2"/>
      <c r="O31" s="2"/>
      <c r="P31" s="2"/>
      <c r="Q31" s="2"/>
      <c r="R31" s="2"/>
      <c r="S31" s="2"/>
      <c r="T31" s="2"/>
      <c r="U31" s="2"/>
      <c r="V31" s="2"/>
      <c r="W31" s="2"/>
      <c r="X31" s="2"/>
    </row>
    <row r="32" spans="1:24" x14ac:dyDescent="0.3">
      <c r="A32" s="2"/>
      <c r="B32" s="2"/>
      <c r="C32" s="2"/>
      <c r="D32" s="2"/>
      <c r="E32" s="2"/>
      <c r="F32" s="2"/>
      <c r="G32" s="2"/>
      <c r="H32" s="2"/>
      <c r="I32" s="2"/>
      <c r="J32" s="2"/>
      <c r="K32" s="2"/>
      <c r="L32" s="2"/>
      <c r="M32" s="2"/>
      <c r="N32" s="2"/>
      <c r="O32" s="2"/>
      <c r="P32" s="2"/>
      <c r="Q32" s="2"/>
      <c r="R32" s="2"/>
      <c r="S32" s="2"/>
      <c r="T32" s="2"/>
      <c r="U32" s="2"/>
      <c r="V32" s="2"/>
      <c r="W32" s="2"/>
      <c r="X32" s="2"/>
    </row>
    <row r="33" spans="1:24" x14ac:dyDescent="0.3">
      <c r="A33" s="2"/>
      <c r="B33" s="2"/>
      <c r="C33" s="2"/>
      <c r="D33" s="2"/>
      <c r="E33" s="2"/>
      <c r="F33" s="2"/>
      <c r="G33" s="2"/>
      <c r="H33" s="2"/>
      <c r="I33" s="2"/>
      <c r="J33" s="2"/>
      <c r="K33" s="2"/>
      <c r="L33" s="2"/>
      <c r="M33" s="2"/>
      <c r="N33" s="2"/>
      <c r="O33" s="2"/>
      <c r="P33" s="2"/>
      <c r="Q33" s="2"/>
      <c r="R33" s="2"/>
      <c r="S33" s="2"/>
      <c r="T33" s="2"/>
      <c r="U33" s="2"/>
      <c r="V33" s="2"/>
      <c r="W33" s="2"/>
      <c r="X33" s="2"/>
    </row>
    <row r="34" spans="1:24" x14ac:dyDescent="0.3">
      <c r="A34" s="2"/>
      <c r="B34" s="2"/>
      <c r="C34" s="2"/>
      <c r="D34" s="2"/>
      <c r="E34" s="2"/>
      <c r="F34" s="2"/>
      <c r="G34" s="2"/>
      <c r="H34" s="2"/>
      <c r="I34" s="2"/>
      <c r="J34" s="2"/>
      <c r="K34" s="2"/>
      <c r="L34" s="2"/>
      <c r="M34" s="2"/>
      <c r="N34" s="2"/>
      <c r="O34" s="2"/>
      <c r="P34" s="2"/>
      <c r="Q34" s="2"/>
      <c r="R34" s="2"/>
      <c r="S34" s="2"/>
      <c r="T34" s="2"/>
      <c r="U34" s="2"/>
      <c r="V34" s="2"/>
      <c r="W34" s="2"/>
      <c r="X34" s="2"/>
    </row>
    <row r="35" spans="1:24" x14ac:dyDescent="0.3">
      <c r="A35" s="2"/>
      <c r="B35" s="2"/>
      <c r="C35" s="2"/>
      <c r="D35" s="2"/>
      <c r="E35" s="2"/>
      <c r="F35" s="2"/>
      <c r="G35" s="2"/>
      <c r="H35" s="2"/>
      <c r="I35" s="2"/>
      <c r="J35" s="2"/>
      <c r="K35" s="2"/>
      <c r="L35" s="2"/>
      <c r="M35" s="2"/>
      <c r="N35" s="2"/>
      <c r="O35" s="2"/>
      <c r="P35" s="2"/>
      <c r="Q35" s="2"/>
      <c r="R35" s="2"/>
      <c r="S35" s="2"/>
      <c r="T35" s="2"/>
      <c r="U35" s="2"/>
      <c r="V35" s="2"/>
      <c r="W35" s="2"/>
      <c r="X35" s="2"/>
    </row>
    <row r="36" spans="1:24" x14ac:dyDescent="0.3">
      <c r="A36" s="2"/>
      <c r="B36" s="2"/>
      <c r="C36" s="2"/>
      <c r="D36" s="2"/>
      <c r="E36" s="2"/>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2"/>
      <c r="R37" s="2"/>
      <c r="S37" s="2"/>
      <c r="T37" s="2"/>
      <c r="U37" s="2"/>
      <c r="V37" s="2"/>
      <c r="W37" s="2"/>
      <c r="X37" s="2"/>
    </row>
    <row r="38" spans="1:24" x14ac:dyDescent="0.3">
      <c r="A38" s="2"/>
      <c r="B38" s="2"/>
      <c r="C38" s="2"/>
      <c r="D38" s="2"/>
      <c r="E38" s="2"/>
      <c r="F38" s="2"/>
      <c r="G38" s="2"/>
      <c r="H38" s="2"/>
      <c r="I38" s="2"/>
      <c r="J38" s="2"/>
      <c r="K38" s="2"/>
      <c r="L38" s="2"/>
      <c r="M38" s="2"/>
      <c r="N38" s="2"/>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sheetData>
  <hyperlinks>
    <hyperlink ref="A1" location="'Daily Em. Room No. Of Patient'!A1" display="'Daily Em. Room No. Of Patient'!A1" xr:uid="{AF74D2EB-E4F7-4547-A086-DFDA0A7F9CF7}"/>
  </hyperlink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35435-CB6F-4B95-9474-BABA5216BF87}">
  <dimension ref="A1:L16"/>
  <sheetViews>
    <sheetView workbookViewId="0"/>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5936-FC17-4957-8EEF-15ECE19DAC1A}">
  <dimension ref="A1:L18"/>
  <sheetViews>
    <sheetView workbookViewId="0">
      <selection activeCell="B20" sqref="B20"/>
    </sheetView>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row r="18" spans="1:12" x14ac:dyDescent="0.3">
      <c r="A18" s="5"/>
      <c r="B18" s="5"/>
      <c r="C18" s="5"/>
      <c r="D18" s="5"/>
      <c r="E18" s="5"/>
      <c r="F18" s="5"/>
      <c r="G18" s="5"/>
      <c r="H18" s="5"/>
      <c r="I18" s="5"/>
      <c r="J18" s="5"/>
      <c r="K18" s="5"/>
      <c r="L1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990EB-8F17-49E7-A77E-B16B3BCBAF2F}">
  <dimension ref="A1:L16"/>
  <sheetViews>
    <sheetView workbookViewId="0"/>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59BA53C-26C9-4EFB-AFB7-ACF7027D9041}">
  <ds:schemaRefs/>
</ds:datastoreItem>
</file>

<file path=customXml/itemProps2.xml><?xml version="1.0" encoding="utf-8"?>
<ds:datastoreItem xmlns:ds="http://schemas.openxmlformats.org/officeDocument/2006/customXml" ds:itemID="{637A4036-A263-472B-8ED6-E4B5B6A9BA44}">
  <ds:schemaRefs/>
</ds:datastoreItem>
</file>

<file path=customXml/itemProps3.xml><?xml version="1.0" encoding="utf-8"?>
<ds:datastoreItem xmlns:ds="http://schemas.openxmlformats.org/officeDocument/2006/customXml" ds:itemID="{4110D2A2-3F24-42BD-9C90-56B8167E4443}">
  <ds:schemaRefs/>
</ds:datastoreItem>
</file>

<file path=customXml/itemProps4.xml><?xml version="1.0" encoding="utf-8"?>
<ds:datastoreItem xmlns:ds="http://schemas.openxmlformats.org/officeDocument/2006/customXml" ds:itemID="{D78F361F-1084-478A-9EA6-7E20AA37D8F1}">
  <ds:schemaRefs/>
</ds:datastoreItem>
</file>

<file path=customXml/itemProps5.xml><?xml version="1.0" encoding="utf-8"?>
<ds:datastoreItem xmlns:ds="http://schemas.openxmlformats.org/officeDocument/2006/customXml" ds:itemID="{403BF0B7-C420-4254-A2E3-366526F28902}">
  <ds:schemaRefs/>
</ds:datastoreItem>
</file>

<file path=customXml/itemProps6.xml><?xml version="1.0" encoding="utf-8"?>
<ds:datastoreItem xmlns:ds="http://schemas.openxmlformats.org/officeDocument/2006/customXml" ds:itemID="{3A1C57FB-E886-4BA5-9E58-5E2920182042}">
  <ds:schemaRefs/>
</ds:datastoreItem>
</file>

<file path=customXml/itemProps7.xml><?xml version="1.0" encoding="utf-8"?>
<ds:datastoreItem xmlns:ds="http://schemas.openxmlformats.org/officeDocument/2006/customXml" ds:itemID="{3951670E-6B4C-45C0-BF12-EF3B7B4C054A}">
  <ds:schemaRefs/>
</ds:datastoreItem>
</file>

<file path=customXml/itemProps8.xml><?xml version="1.0" encoding="utf-8"?>
<ds:datastoreItem xmlns:ds="http://schemas.openxmlformats.org/officeDocument/2006/customXml" ds:itemID="{8E354878-F4E0-425F-B8FA-D4650ABFAC0F}">
  <ds:schemaRefs/>
</ds:datastoreItem>
</file>

<file path=customXml/itemProps9.xml><?xml version="1.0" encoding="utf-8"?>
<ds:datastoreItem xmlns:ds="http://schemas.openxmlformats.org/officeDocument/2006/customXml" ds:itemID="{D2ACDC52-E310-4802-BBDD-1410992CC62B}">
  <ds:schemaRefs/>
</ds:datastoreItem>
</file>

<file path=customXml/itemProps10.xml><?xml version="1.0" encoding="utf-8"?>
<ds:datastoreItem xmlns:ds="http://schemas.openxmlformats.org/officeDocument/2006/customXml" ds:itemID="{05253377-C702-4BF0-9C30-F42971B07CC1}">
  <ds:schemaRefs/>
</ds:datastoreItem>
</file>

<file path=customXml/itemProps11.xml><?xml version="1.0" encoding="utf-8"?>
<ds:datastoreItem xmlns:ds="http://schemas.openxmlformats.org/officeDocument/2006/customXml" ds:itemID="{C792D6A7-6538-4F18-901E-0A3AE0C75668}">
  <ds:schemaRefs/>
</ds:datastoreItem>
</file>

<file path=customXml/itemProps12.xml><?xml version="1.0" encoding="utf-8"?>
<ds:datastoreItem xmlns:ds="http://schemas.openxmlformats.org/officeDocument/2006/customXml" ds:itemID="{9A81DB66-3165-454D-AFE8-D9C6F6DE94B7}">
  <ds:schemaRefs/>
</ds:datastoreItem>
</file>

<file path=customXml/itemProps13.xml><?xml version="1.0" encoding="utf-8"?>
<ds:datastoreItem xmlns:ds="http://schemas.openxmlformats.org/officeDocument/2006/customXml" ds:itemID="{CF405301-BB6D-4991-90A0-D551EC2F3383}">
  <ds:schemaRefs/>
</ds:datastoreItem>
</file>

<file path=customXml/itemProps14.xml><?xml version="1.0" encoding="utf-8"?>
<ds:datastoreItem xmlns:ds="http://schemas.openxmlformats.org/officeDocument/2006/customXml" ds:itemID="{07E95CD8-73E9-4223-B181-120EF880BDD8}">
  <ds:schemaRefs/>
</ds:datastoreItem>
</file>

<file path=customXml/itemProps15.xml><?xml version="1.0" encoding="utf-8"?>
<ds:datastoreItem xmlns:ds="http://schemas.openxmlformats.org/officeDocument/2006/customXml" ds:itemID="{94F993CD-BD0C-46AF-B380-12374283E751}">
  <ds:schemaRefs>
    <ds:schemaRef ds:uri="http://schemas.microsoft.com/DataMashup"/>
  </ds:schemaRefs>
</ds:datastoreItem>
</file>

<file path=customXml/itemProps16.xml><?xml version="1.0" encoding="utf-8"?>
<ds:datastoreItem xmlns:ds="http://schemas.openxmlformats.org/officeDocument/2006/customXml" ds:itemID="{FF6F0564-626C-4493-AE2C-D60C218535F7}">
  <ds:schemaRefs/>
</ds:datastoreItem>
</file>

<file path=customXml/itemProps17.xml><?xml version="1.0" encoding="utf-8"?>
<ds:datastoreItem xmlns:ds="http://schemas.openxmlformats.org/officeDocument/2006/customXml" ds:itemID="{F35EB044-5B12-42CF-87B2-6CD570F5D959}">
  <ds:schemaRefs/>
</ds:datastoreItem>
</file>

<file path=customXml/itemProps18.xml><?xml version="1.0" encoding="utf-8"?>
<ds:datastoreItem xmlns:ds="http://schemas.openxmlformats.org/officeDocument/2006/customXml" ds:itemID="{EE0A5929-6149-410E-ACCB-2367A9885C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Wait Time Daily Trend</vt:lpstr>
      <vt:lpstr>Daily Em. Room No.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Pritam Bairwa</dc:creator>
  <cp:lastModifiedBy>Pritam Bairwa</cp:lastModifiedBy>
  <dcterms:created xsi:type="dcterms:W3CDTF">2025-12-21T09:40:59Z</dcterms:created>
  <dcterms:modified xsi:type="dcterms:W3CDTF">2025-12-24T17:34:16Z</dcterms:modified>
</cp:coreProperties>
</file>